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3660" tabRatio="600" firstSheet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DATA_KML" sheetId="2" state="visible" r:id="rId2"/>
  </sheets>
  <definedNames>
    <definedName name="_xlnm._FilterDatabase" localSheetId="0" hidden="1">'BoQ'!$A$8:$X$736</definedName>
    <definedName name="_xlnm.Print_Area" localSheetId="0">'BoQ'!$A$1:$K$735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_(* #,##0_);_(* \(#,##0\);_(* &quot;-&quot;??_);_(@_)"/>
    <numFmt numFmtId="165" formatCode="#,##0\ ;&quot; (&quot;#,##0\);&quot; -&quot;#\ ;@\ "/>
    <numFmt numFmtId="166" formatCode="#,##0.00\ ;&quot; (&quot;#,##0.00\);&quot; -&quot;#\ ;@\ "/>
    <numFmt numFmtId="167" formatCode="_(* #,##0.0000_);_(* \(#,##0.0000\);_(* &quot;-&quot;??_);_(@_)"/>
  </numFmts>
  <fonts count="49">
    <font>
      <name val="Calibri"/>
      <charset val="134"/>
      <color theme="1"/>
      <sz val="12"/>
      <scheme val="minor"/>
    </font>
    <font>
      <name val="Calibri"/>
      <charset val="134"/>
      <color theme="1"/>
      <sz val="11"/>
    </font>
    <font>
      <name val="Arial Narrow"/>
      <charset val="134"/>
      <sz val="11"/>
    </font>
    <font>
      <name val="Arial Narrow"/>
      <charset val="134"/>
      <color theme="1"/>
      <sz val="11"/>
    </font>
    <font>
      <name val="Arial Narrow"/>
      <charset val="134"/>
      <color indexed="8"/>
      <sz val="10"/>
    </font>
    <font>
      <name val="Arial Narrow"/>
      <charset val="134"/>
      <color theme="0"/>
      <sz val="11"/>
    </font>
    <font>
      <name val="Calibri"/>
      <charset val="134"/>
      <b val="1"/>
      <color theme="1"/>
      <sz val="12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2"/>
    </font>
    <font>
      <name val="Calibri"/>
      <charset val="134"/>
      <b val="1"/>
      <color rgb="FF000000"/>
      <sz val="12"/>
      <scheme val="minor"/>
    </font>
    <font>
      <name val="Calibri"/>
      <charset val="134"/>
      <b val="1"/>
      <color indexed="8"/>
      <sz val="10"/>
      <scheme val="minor"/>
    </font>
    <font>
      <name val="Calibri"/>
      <charset val="134"/>
      <color indexed="8"/>
      <sz val="10"/>
      <scheme val="minor"/>
    </font>
    <font>
      <name val="Calibri"/>
      <charset val="134"/>
      <b val="1"/>
      <sz val="10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b val="1"/>
      <color theme="0"/>
      <sz val="11"/>
      <scheme val="minor"/>
    </font>
    <font>
      <name val="Calibri"/>
      <charset val="134"/>
      <b val="1"/>
      <color theme="0"/>
      <sz val="10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Calibri"/>
      <charset val="134"/>
      <b val="1"/>
      <color indexed="8"/>
      <sz val="12"/>
      <scheme val="minor"/>
    </font>
    <font>
      <name val="Arial Narrow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name val="Calibri"/>
      <charset val="1"/>
      <color indexed="8"/>
      <sz val="11"/>
    </font>
    <font>
      <name val="Calibri"/>
      <charset val="1"/>
      <color theme="1"/>
      <sz val="11"/>
      <scheme val="minor"/>
    </font>
    <font>
      <name val="Times New Roman"/>
      <charset val="0"/>
      <b val="1"/>
      <sz val="9"/>
    </font>
    <font>
      <name val="Arial"/>
      <sz val="10"/>
    </font>
    <font>
      <name val="Arial"/>
      <b val="1"/>
      <sz val="10"/>
    </font>
    <font>
      <b val="1"/>
      <sz val="18"/>
    </font>
    <font>
      <b val="1"/>
      <sz val="14"/>
    </font>
    <font>
      <b val="1"/>
    </font>
  </fonts>
  <fills count="4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D3"/>
        <bgColor rgb="00D9EAD3"/>
      </patternFill>
    </fill>
    <fill>
      <patternFill patternType="solid">
        <fgColor rgb="00D9EAD3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62">
    <xf numFmtId="0" fontId="0" fillId="0" borderId="0"/>
    <xf numFmtId="43" fontId="0" fillId="0" borderId="0"/>
    <xf numFmtId="44" fontId="7" fillId="0" borderId="0" applyAlignment="1">
      <alignment vertical="center"/>
    </xf>
    <xf numFmtId="9" fontId="7" fillId="0" borderId="0" applyAlignment="1">
      <alignment vertical="center"/>
    </xf>
    <xf numFmtId="41" fontId="0" fillId="0" borderId="0"/>
    <xf numFmtId="42" fontId="7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7" fillId="8" borderId="2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" applyAlignment="1">
      <alignment vertical="center"/>
    </xf>
    <xf numFmtId="0" fontId="27" fillId="0" borderId="3" applyAlignment="1">
      <alignment vertical="center"/>
    </xf>
    <xf numFmtId="0" fontId="28" fillId="0" borderId="4" applyAlignment="1">
      <alignment vertical="center"/>
    </xf>
    <xf numFmtId="0" fontId="28" fillId="0" borderId="0" applyAlignment="1">
      <alignment vertical="center"/>
    </xf>
    <xf numFmtId="0" fontId="29" fillId="9" borderId="5" applyAlignment="1">
      <alignment vertical="center"/>
    </xf>
    <xf numFmtId="0" fontId="30" fillId="10" borderId="6" applyAlignment="1">
      <alignment vertical="center"/>
    </xf>
    <xf numFmtId="0" fontId="31" fillId="10" borderId="5" applyAlignment="1">
      <alignment vertical="center"/>
    </xf>
    <xf numFmtId="0" fontId="32" fillId="11" borderId="7" applyAlignment="1">
      <alignment vertical="center"/>
    </xf>
    <xf numFmtId="0" fontId="33" fillId="0" borderId="8" applyAlignment="1">
      <alignment vertical="center"/>
    </xf>
    <xf numFmtId="0" fontId="34" fillId="0" borderId="9" applyAlignment="1">
      <alignment vertical="center"/>
    </xf>
    <xf numFmtId="0" fontId="35" fillId="12" borderId="0" applyAlignment="1">
      <alignment vertical="center"/>
    </xf>
    <xf numFmtId="0" fontId="36" fillId="13" borderId="0" applyAlignment="1">
      <alignment vertical="center"/>
    </xf>
    <xf numFmtId="0" fontId="37" fillId="14" borderId="0" applyAlignment="1">
      <alignment vertical="center"/>
    </xf>
    <xf numFmtId="0" fontId="38" fillId="15" borderId="0" applyAlignment="1">
      <alignment vertical="center"/>
    </xf>
    <xf numFmtId="0" fontId="39" fillId="16" borderId="0" applyAlignment="1">
      <alignment vertical="center"/>
    </xf>
    <xf numFmtId="0" fontId="39" fillId="17" borderId="0" applyAlignment="1">
      <alignment vertical="center"/>
    </xf>
    <xf numFmtId="0" fontId="38" fillId="18" borderId="0" applyAlignment="1">
      <alignment vertical="center"/>
    </xf>
    <xf numFmtId="0" fontId="38" fillId="19" borderId="0" applyAlignment="1">
      <alignment vertical="center"/>
    </xf>
    <xf numFmtId="0" fontId="39" fillId="20" borderId="0" applyAlignment="1">
      <alignment vertical="center"/>
    </xf>
    <xf numFmtId="0" fontId="39" fillId="21" borderId="0" applyAlignment="1">
      <alignment vertical="center"/>
    </xf>
    <xf numFmtId="0" fontId="38" fillId="22" borderId="0" applyAlignment="1">
      <alignment vertical="center"/>
    </xf>
    <xf numFmtId="0" fontId="38" fillId="23" borderId="0" applyAlignment="1">
      <alignment vertical="center"/>
    </xf>
    <xf numFmtId="0" fontId="39" fillId="24" borderId="0" applyAlignment="1">
      <alignment vertical="center"/>
    </xf>
    <xf numFmtId="0" fontId="39" fillId="25" borderId="0" applyAlignment="1">
      <alignment vertical="center"/>
    </xf>
    <xf numFmtId="0" fontId="38" fillId="26" borderId="0" applyAlignment="1">
      <alignment vertical="center"/>
    </xf>
    <xf numFmtId="0" fontId="38" fillId="27" borderId="0" applyAlignment="1">
      <alignment vertical="center"/>
    </xf>
    <xf numFmtId="0" fontId="39" fillId="28" borderId="0" applyAlignment="1">
      <alignment vertical="center"/>
    </xf>
    <xf numFmtId="0" fontId="39" fillId="29" borderId="0" applyAlignment="1">
      <alignment vertical="center"/>
    </xf>
    <xf numFmtId="0" fontId="38" fillId="30" borderId="0" applyAlignment="1">
      <alignment vertical="center"/>
    </xf>
    <xf numFmtId="0" fontId="38" fillId="31" borderId="0" applyAlignment="1">
      <alignment vertical="center"/>
    </xf>
    <xf numFmtId="0" fontId="39" fillId="32" borderId="0" applyAlignment="1">
      <alignment vertical="center"/>
    </xf>
    <xf numFmtId="0" fontId="39" fillId="33" borderId="0" applyAlignment="1">
      <alignment vertical="center"/>
    </xf>
    <xf numFmtId="0" fontId="38" fillId="34" borderId="0" applyAlignment="1">
      <alignment vertical="center"/>
    </xf>
    <xf numFmtId="0" fontId="38" fillId="35" borderId="0" applyAlignment="1">
      <alignment vertical="center"/>
    </xf>
    <xf numFmtId="0" fontId="39" fillId="36" borderId="0" applyAlignment="1">
      <alignment vertical="center"/>
    </xf>
    <xf numFmtId="0" fontId="39" fillId="37" borderId="0" applyAlignment="1">
      <alignment vertical="center"/>
    </xf>
    <xf numFmtId="0" fontId="38" fillId="38" borderId="0" applyAlignment="1">
      <alignment vertical="center"/>
    </xf>
    <xf numFmtId="0" fontId="40" fillId="0" borderId="0"/>
    <xf numFmtId="0" fontId="40" fillId="0" borderId="0"/>
    <xf numFmtId="41" fontId="40" fillId="0" borderId="0"/>
    <xf numFmtId="43" fontId="41" fillId="0" borderId="0"/>
    <xf numFmtId="43" fontId="40" fillId="0" borderId="0"/>
    <xf numFmtId="43" fontId="40" fillId="0" borderId="0"/>
    <xf numFmtId="43" fontId="0" fillId="0" borderId="0"/>
    <xf numFmtId="0" fontId="42" fillId="0" borderId="0"/>
    <xf numFmtId="0" fontId="40" fillId="0" borderId="0"/>
    <xf numFmtId="0" fontId="7" fillId="0" borderId="0"/>
    <xf numFmtId="0" fontId="7" fillId="0" borderId="0"/>
    <xf numFmtId="0" fontId="40" fillId="0" borderId="0" applyAlignment="1">
      <alignment vertical="top"/>
    </xf>
    <xf numFmtId="0" fontId="40" fillId="0" borderId="0"/>
  </cellStyleXfs>
  <cellXfs count="82">
    <xf numFmtId="0" fontId="0" fillId="0" borderId="0" pivotButton="0" quotePrefix="0" xfId="0"/>
    <xf numFmtId="0" fontId="0" fillId="2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58">
      <alignment vertical="center"/>
    </xf>
    <xf numFmtId="0" fontId="3" fillId="3" borderId="0" pivotButton="0" quotePrefix="0" xfId="58"/>
    <xf numFmtId="0" fontId="2" fillId="3" borderId="0" applyAlignment="1" pivotButton="0" quotePrefix="0" xfId="58">
      <alignment vertical="center"/>
    </xf>
    <xf numFmtId="0" fontId="2" fillId="0" borderId="0" pivotButton="0" quotePrefix="0" xfId="58"/>
    <xf numFmtId="3" fontId="4" fillId="0" borderId="0" pivotButton="0" quotePrefix="0" xfId="56"/>
    <xf numFmtId="3" fontId="4" fillId="0" borderId="0" applyAlignment="1" pivotButton="0" quotePrefix="0" xfId="56">
      <alignment horizontal="center"/>
    </xf>
    <xf numFmtId="0" fontId="3" fillId="0" borderId="0" applyAlignment="1" pivotButton="0" quotePrefix="0" xfId="58">
      <alignment horizontal="center"/>
    </xf>
    <xf numFmtId="164" fontId="3" fillId="0" borderId="0" applyAlignment="1" pivotButton="0" quotePrefix="0" xfId="58">
      <alignment horizontal="center"/>
    </xf>
    <xf numFmtId="164" fontId="3" fillId="0" borderId="0" applyAlignment="1" pivotButton="0" quotePrefix="0" xfId="58">
      <alignment horizontal="center" vertical="center"/>
    </xf>
    <xf numFmtId="0" fontId="3" fillId="0" borderId="0" pivotButton="0" quotePrefix="0" xfId="58"/>
    <xf numFmtId="0" fontId="5" fillId="0" borderId="0" applyAlignment="1" pivotButton="0" quotePrefix="0" xfId="58">
      <alignment horizontal="center" vertical="center"/>
    </xf>
    <xf numFmtId="0" fontId="5" fillId="0" borderId="0" applyAlignment="1" pivotButton="0" quotePrefix="0" xfId="58">
      <alignment vertical="center"/>
    </xf>
    <xf numFmtId="0" fontId="5" fillId="0" borderId="0" pivotButton="0" quotePrefix="0" xfId="58"/>
    <xf numFmtId="0" fontId="6" fillId="0" borderId="0" pivotButton="0" quotePrefix="0" xfId="58"/>
    <xf numFmtId="0" fontId="7" fillId="0" borderId="0" pivotButton="0" quotePrefix="0" xfId="58"/>
    <xf numFmtId="0" fontId="7" fillId="0" borderId="0" pivotButton="0" quotePrefix="0" xfId="58"/>
    <xf numFmtId="0" fontId="7" fillId="0" borderId="0" applyAlignment="1" pivotButton="0" quotePrefix="0" xfId="58">
      <alignment horizontal="center"/>
    </xf>
    <xf numFmtId="164" fontId="7" fillId="0" borderId="0" applyAlignment="1" pivotButton="0" quotePrefix="0" xfId="58">
      <alignment horizontal="center"/>
    </xf>
    <xf numFmtId="164" fontId="7" fillId="0" borderId="0" applyAlignment="1" pivotButton="0" quotePrefix="0" xfId="58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readingOrder="1"/>
    </xf>
    <xf numFmtId="3" fontId="10" fillId="0" borderId="0" applyAlignment="1" pivotButton="0" quotePrefix="0" xfId="60">
      <alignment horizontal="left" vertical="center"/>
    </xf>
    <xf numFmtId="3" fontId="11" fillId="0" borderId="0" applyAlignment="1" pivotButton="0" quotePrefix="0" xfId="52">
      <alignment horizontal="center" vertical="top"/>
    </xf>
    <xf numFmtId="3" fontId="10" fillId="4" borderId="1" applyAlignment="1" applyProtection="1" pivotButton="0" quotePrefix="0" xfId="49">
      <alignment horizontal="center" vertical="center" wrapText="1"/>
      <protection locked="0" hidden="0"/>
    </xf>
    <xf numFmtId="3" fontId="10" fillId="4" borderId="1" applyAlignment="1" applyProtection="1" pivotButton="0" quotePrefix="0" xfId="49">
      <alignment horizontal="center" vertical="center"/>
      <protection locked="0" hidden="0"/>
    </xf>
    <xf numFmtId="164" fontId="10" fillId="4" borderId="1" applyAlignment="1" applyProtection="1" pivotButton="0" quotePrefix="0" xfId="49">
      <alignment horizontal="center" vertical="center"/>
      <protection locked="0" hidden="0"/>
    </xf>
    <xf numFmtId="165" fontId="12" fillId="2" borderId="1" applyAlignment="1" pivotButton="0" quotePrefix="0" xfId="53">
      <alignment horizontal="center" vertical="center"/>
    </xf>
    <xf numFmtId="166" fontId="12" fillId="2" borderId="1" applyAlignment="1" applyProtection="1" pivotButton="0" quotePrefix="0" xfId="54">
      <alignment horizontal="center" vertical="center"/>
      <protection locked="0" hidden="0"/>
    </xf>
    <xf numFmtId="0" fontId="13" fillId="2" borderId="1" applyAlignment="1" pivotButton="0" quotePrefix="0" xfId="57">
      <alignment horizontal="center" vertical="center"/>
    </xf>
    <xf numFmtId="167" fontId="14" fillId="5" borderId="1" applyAlignment="1" applyProtection="1" pivotButton="0" quotePrefix="0" xfId="1">
      <alignment horizontal="center" vertical="top" wrapText="1"/>
      <protection locked="0" hidden="0"/>
    </xf>
    <xf numFmtId="167" fontId="15" fillId="5" borderId="1" applyAlignment="1" applyProtection="1" pivotButton="0" quotePrefix="0" xfId="55">
      <alignment vertical="center"/>
      <protection locked="0" hidden="0"/>
    </xf>
    <xf numFmtId="167" fontId="15" fillId="5" borderId="1" applyAlignment="1" applyProtection="1" pivotButton="0" quotePrefix="0" xfId="55">
      <alignment vertical="top"/>
      <protection locked="0" hidden="0"/>
    </xf>
    <xf numFmtId="164" fontId="10" fillId="6" borderId="1" applyAlignment="1" applyProtection="1" pivotButton="0" quotePrefix="0" xfId="49">
      <alignment horizontal="center" vertical="center"/>
      <protection locked="0" hidden="0"/>
    </xf>
    <xf numFmtId="0" fontId="3" fillId="6" borderId="1" pivotButton="0" quotePrefix="0" xfId="58"/>
    <xf numFmtId="0" fontId="1" fillId="0" borderId="1" applyAlignment="1" pivotButton="0" quotePrefix="0" xfId="0">
      <alignment vertical="center" wrapText="1"/>
    </xf>
    <xf numFmtId="41" fontId="1" fillId="0" borderId="1" applyAlignment="1" pivotButton="0" quotePrefix="0" xfId="4">
      <alignment vertical="center"/>
    </xf>
    <xf numFmtId="164" fontId="7" fillId="0" borderId="1" applyAlignment="1" pivotButton="0" quotePrefix="0" xfId="58">
      <alignment horizontal="center" vertical="center"/>
    </xf>
    <xf numFmtId="3" fontId="16" fillId="0" borderId="1" applyAlignment="1" applyProtection="1" pivotButton="0" quotePrefix="0" xfId="61">
      <alignment horizontal="center" vertical="center" wrapText="1"/>
      <protection locked="0" hidden="0"/>
    </xf>
    <xf numFmtId="41" fontId="17" fillId="0" borderId="1" applyAlignment="1" pivotButton="0" quotePrefix="0" xfId="4">
      <alignment vertical="center"/>
    </xf>
    <xf numFmtId="41" fontId="18" fillId="0" borderId="1" applyAlignment="1" pivotButton="0" quotePrefix="0" xfId="4">
      <alignment vertical="center"/>
    </xf>
    <xf numFmtId="0" fontId="3" fillId="0" borderId="1" pivotButton="0" quotePrefix="0" xfId="58"/>
    <xf numFmtId="0" fontId="3" fillId="0" borderId="1" applyAlignment="1" pivotButton="0" quotePrefix="0" xfId="58">
      <alignment vertical="center"/>
    </xf>
    <xf numFmtId="0" fontId="3" fillId="3" borderId="1" pivotButton="0" quotePrefix="0" xfId="58"/>
    <xf numFmtId="41" fontId="1" fillId="0" borderId="1" applyAlignment="1" pivotButton="0" quotePrefix="0" xfId="4">
      <alignment horizontal="center" vertical="center"/>
    </xf>
    <xf numFmtId="3" fontId="19" fillId="7" borderId="1" applyAlignment="1" applyProtection="1" pivotButton="0" quotePrefix="0" xfId="61">
      <alignment horizontal="center" vertical="center" wrapText="1"/>
      <protection locked="0" hidden="0"/>
    </xf>
    <xf numFmtId="3" fontId="19" fillId="7" borderId="1" applyAlignment="1" applyProtection="1" pivotButton="0" quotePrefix="0" xfId="61">
      <alignment vertical="center" wrapText="1"/>
      <protection locked="0" hidden="0"/>
    </xf>
    <xf numFmtId="164" fontId="6" fillId="7" borderId="1" applyAlignment="1" pivotButton="0" quotePrefix="0" xfId="58">
      <alignment horizontal="center" vertical="center"/>
    </xf>
    <xf numFmtId="0" fontId="20" fillId="7" borderId="1" applyAlignment="1" pivotButton="0" quotePrefix="0" xfId="58">
      <alignment horizontal="center" vertical="center"/>
    </xf>
    <xf numFmtId="164" fontId="3" fillId="0" borderId="0" pivotButton="0" quotePrefix="0" xfId="58"/>
    <xf numFmtId="0" fontId="16" fillId="0" borderId="0" pivotButton="0" quotePrefix="0" xfId="58"/>
    <xf numFmtId="164" fontId="3" fillId="0" borderId="0" applyAlignment="1" pivotButton="0" quotePrefix="0" xfId="58">
      <alignment horizontal="center"/>
    </xf>
    <xf numFmtId="164" fontId="3" fillId="0" borderId="0" applyAlignment="1" pivotButton="0" quotePrefix="0" xfId="58">
      <alignment horizontal="center" vertical="center"/>
    </xf>
    <xf numFmtId="164" fontId="7" fillId="0" borderId="0" applyAlignment="1" pivotButton="0" quotePrefix="0" xfId="58">
      <alignment horizontal="center"/>
    </xf>
    <xf numFmtId="164" fontId="7" fillId="0" borderId="0" applyAlignment="1" pivotButton="0" quotePrefix="0" xfId="58">
      <alignment horizontal="center" vertical="center"/>
    </xf>
    <xf numFmtId="164" fontId="10" fillId="4" borderId="1" applyAlignment="1" applyProtection="1" pivotButton="0" quotePrefix="0" xfId="49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165" fontId="12" fillId="2" borderId="1" applyAlignment="1" pivotButton="0" quotePrefix="0" xfId="53">
      <alignment horizontal="center" vertical="center"/>
    </xf>
    <xf numFmtId="166" fontId="12" fillId="2" borderId="1" applyAlignment="1" applyProtection="1" pivotButton="0" quotePrefix="0" xfId="54">
      <alignment horizontal="center" vertical="center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16" pivotButton="0" quotePrefix="0" xfId="0"/>
    <xf numFmtId="0" fontId="44" fillId="0" borderId="17" applyAlignment="1" pivotButton="0" quotePrefix="0" xfId="0">
      <alignment horizontal="center"/>
    </xf>
    <xf numFmtId="0" fontId="44" fillId="0" borderId="17" applyAlignment="1" pivotButton="0" quotePrefix="0" xfId="0">
      <alignment horizontal="left"/>
    </xf>
    <xf numFmtId="3" fontId="44" fillId="0" borderId="17" applyAlignment="1" pivotButton="0" quotePrefix="0" xfId="0">
      <alignment horizontal="right"/>
    </xf>
    <xf numFmtId="4" fontId="44" fillId="0" borderId="17" applyAlignment="1" pivotButton="0" quotePrefix="0" xfId="0">
      <alignment horizontal="center"/>
    </xf>
    <xf numFmtId="0" fontId="0" fillId="39" borderId="17" pivotButton="0" quotePrefix="0" xfId="0"/>
    <xf numFmtId="0" fontId="45" fillId="39" borderId="17" applyAlignment="1" pivotButton="0" quotePrefix="0" xfId="0">
      <alignment horizontal="right"/>
    </xf>
    <xf numFmtId="3" fontId="45" fillId="39" borderId="17" applyAlignment="1" pivotButton="0" quotePrefix="0" xfId="0">
      <alignment horizontal="right"/>
    </xf>
    <xf numFmtId="0" fontId="46" fillId="40" borderId="17" pivotButton="0" quotePrefix="0" xfId="0"/>
    <xf numFmtId="0" fontId="0" fillId="0" borderId="17" pivotButton="0" quotePrefix="0" xfId="0"/>
    <xf numFmtId="0" fontId="47" fillId="0" borderId="17" pivotButton="0" quotePrefix="0" xfId="0"/>
    <xf numFmtId="0" fontId="48" fillId="40" borderId="17" pivotButton="0" quotePrefix="0" xfId="0"/>
    <xf numFmtId="0" fontId="48" fillId="40" borderId="0" pivotButton="0" quotePrefix="0" xfId="0"/>
  </cellXfs>
  <cellStyles count="6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0,0_x000a__x000a_NA_x000a__x000a_ 2 2" xfId="49"/>
    <cellStyle name="0,0_x000a__x000a_NA_x000a__x000a_ 4" xfId="50"/>
    <cellStyle name="Comma [0] 14 2" xfId="51"/>
    <cellStyle name="Comma 2" xfId="52"/>
    <cellStyle name="Comma 41" xfId="53"/>
    <cellStyle name="Comma 5 2" xfId="54"/>
    <cellStyle name="Comma 9" xfId="55"/>
    <cellStyle name="Normal 2 2" xfId="56"/>
    <cellStyle name="Normal 2 2 3" xfId="57"/>
    <cellStyle name="Normal 3" xfId="58"/>
    <cellStyle name="Normal 3 5" xfId="59"/>
    <cellStyle name="Normal_Rev_Penarikan Fo 12_DRC Tiki JNE_Slp-Capex" xfId="60"/>
    <cellStyle name="Normal_Sheet1" xfId="6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AWKMLTable" displayName="RAWKMLTable" ref="A10:H44" headerRowCount="1">
  <autoFilter ref="A10:H44"/>
  <tableColumns count="8">
    <tableColumn id="1" name="Object Type"/>
    <tableColumn id="2" name="Folder"/>
    <tableColumn id="3" name="Name"/>
    <tableColumn id="4" name="Core"/>
    <tableColumn id="5" name="Port"/>
    <tableColumn id="6" name="Length (m)"/>
    <tableColumn id="7" name="From Pole"/>
    <tableColumn id="8" name="To Pole"/>
  </tableColumns>
  <tableStyleInfo name="TableStyleMedium2" showRowStripes="1"/>
</table>
</file>

<file path=xl/tables/table2.xml><?xml version="1.0" encoding="utf-8"?>
<table xmlns="http://schemas.openxmlformats.org/spreadsheetml/2006/main" id="2" name="CableDetailTable" displayName="CableDetailTable" ref="A49:E62" headerRowCount="1">
  <autoFilter ref="A49:E62"/>
  <tableColumns count="5">
    <tableColumn id="1" name="Cable"/>
    <tableColumn id="2" name="Core"/>
    <tableColumn id="3" name="From Pole"/>
    <tableColumn id="4" name="To Pole"/>
    <tableColumn id="5" name="Length (m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topLeftCell="A713" zoomScale="85" zoomScaleNormal="85" zoomScaleSheetLayoutView="25" workbookViewId="0">
      <selection activeCell="B9" sqref="B9:B732"/>
    </sheetView>
  </sheetViews>
  <sheetFormatPr baseColWidth="8" defaultColWidth="10.5" defaultRowHeight="16.8"/>
  <cols>
    <col width="5.5" customWidth="1" style="13" min="1" max="1"/>
    <col width="22.75" customWidth="1" style="13" min="2" max="2"/>
    <col width="52.75" customWidth="1" style="13" min="3" max="3"/>
    <col width="10.25" customWidth="1" style="14" min="4" max="4"/>
    <col width="14.25" customWidth="1" style="15" min="5" max="5"/>
    <col width="14.75" customWidth="1" style="59" min="6" max="6"/>
    <col width="14.75" customWidth="1" style="60" min="7" max="7"/>
    <col width="13.5" customWidth="1" style="18" min="8" max="8"/>
    <col width="12.75" customWidth="1" style="18" min="9" max="9"/>
    <col width="13.5" customWidth="1" style="18" min="10" max="10"/>
    <col width="24.25" customWidth="1" style="18" min="11" max="11"/>
    <col width="12.375" customWidth="1" style="19" min="12" max="12"/>
    <col width="10.5" customWidth="1" style="20" min="13" max="13"/>
    <col width="10.5" customWidth="1" style="21" min="14" max="24"/>
    <col width="10.5" customWidth="1" style="18" min="25" max="16256"/>
    <col width="3.75" customWidth="1" style="18" min="16257" max="16384"/>
  </cols>
  <sheetData>
    <row r="1" ht="17.6" customHeight="1" s="4">
      <c r="A1" s="22" t="inlineStr">
        <is>
          <t>DAFTAR HARGA SATUAN</t>
        </is>
      </c>
      <c r="B1" s="24" t="n"/>
      <c r="D1" s="24" t="n"/>
      <c r="E1" s="25" t="n"/>
      <c r="F1" s="61" t="n"/>
      <c r="G1" s="62" t="n"/>
    </row>
    <row r="2" ht="17.6" customHeight="1" s="4">
      <c r="A2" s="28" t="n"/>
      <c r="B2" s="24" t="n"/>
      <c r="D2" s="24" t="n"/>
      <c r="E2" s="25" t="n"/>
      <c r="F2" s="61" t="n"/>
      <c r="G2" s="62" t="n"/>
    </row>
    <row r="3" ht="17.6" customHeight="1" s="4">
      <c r="A3" s="29" t="inlineStr">
        <is>
          <t>PROJECT : MDN PT3 TTG-FGB DS UJUNG JAHE</t>
        </is>
      </c>
      <c r="B3" s="29" t="n"/>
      <c r="C3" s="29" t="n"/>
      <c r="D3" s="24" t="n"/>
      <c r="E3" s="25" t="n"/>
      <c r="F3" s="61" t="n"/>
      <c r="G3" s="62" t="n"/>
    </row>
    <row r="4" ht="17.6" customHeight="1" s="4">
      <c r="A4" s="29" t="inlineStr">
        <is>
          <t>STO : TTG</t>
        </is>
      </c>
      <c r="B4" s="29" t="n"/>
      <c r="C4" s="30" t="n"/>
      <c r="D4" s="24" t="n"/>
      <c r="E4" s="25" t="n"/>
      <c r="F4" s="61" t="n"/>
      <c r="G4" s="62" t="n"/>
    </row>
    <row r="5" ht="15.6" customHeight="1" s="4">
      <c r="D5" s="31" t="n"/>
      <c r="E5" s="25" t="n"/>
      <c r="F5" s="25" t="n"/>
      <c r="G5" s="24" t="n"/>
      <c r="H5" s="24" t="n"/>
      <c r="I5" s="24" t="n"/>
      <c r="J5" s="24" t="n"/>
      <c r="K5" s="24" t="n"/>
    </row>
    <row r="6">
      <c r="A6" s="32" t="inlineStr">
        <is>
          <t>NO</t>
        </is>
      </c>
      <c r="B6" s="33" t="inlineStr">
        <is>
          <t>DESIGNATOR</t>
        </is>
      </c>
      <c r="C6" s="33" t="inlineStr">
        <is>
          <t>URAIAN  PEKERJAAN</t>
        </is>
      </c>
      <c r="D6" s="33" t="inlineStr">
        <is>
          <t>SATUAN</t>
        </is>
      </c>
      <c r="E6" s="63" t="inlineStr">
        <is>
          <t>HARGA SATUAN (PAKET-1)</t>
        </is>
      </c>
      <c r="F6" s="64" t="n"/>
      <c r="G6" s="65" t="inlineStr">
        <is>
          <t>VOL</t>
        </is>
      </c>
      <c r="H6" s="66" t="inlineStr">
        <is>
          <t>TOTAL HARGA (Rp.)</t>
        </is>
      </c>
      <c r="I6" s="67" t="n"/>
      <c r="J6" s="64" t="n"/>
      <c r="K6" s="37" t="inlineStr">
        <is>
          <t>KETERANGAN</t>
        </is>
      </c>
    </row>
    <row r="7">
      <c r="A7" s="68" t="n"/>
      <c r="B7" s="68" t="n"/>
      <c r="C7" s="68" t="n"/>
      <c r="D7" s="68" t="n"/>
      <c r="E7" s="63" t="inlineStr">
        <is>
          <t>MATERIAL</t>
        </is>
      </c>
      <c r="F7" s="63" t="inlineStr">
        <is>
          <t>JASA</t>
        </is>
      </c>
      <c r="G7" s="69" t="n"/>
      <c r="H7" s="66" t="inlineStr">
        <is>
          <t>MATERIAL</t>
        </is>
      </c>
      <c r="I7" s="66" t="inlineStr">
        <is>
          <t>JASA</t>
        </is>
      </c>
      <c r="J7" s="66" t="inlineStr">
        <is>
          <t>TOTAL</t>
        </is>
      </c>
      <c r="K7" s="69" t="n"/>
    </row>
    <row r="8" ht="17" customHeight="1" s="4">
      <c r="A8" s="70" t="n">
        <v>1</v>
      </c>
      <c r="B8" s="71" t="inlineStr">
        <is>
          <t>M-AC-OF-SM-ADSS-12D</t>
        </is>
      </c>
      <c r="C8" s="71" t="inlineStr">
        <is>
          <t>Pengadaan dan Pemasangan Kabel Udara Fiber Optik All Dielectric Self Supporting Cable (ADSS) Single Mode 12 Core G.652.D</t>
        </is>
      </c>
      <c r="D8" s="70" t="inlineStr">
        <is>
          <t>meter</t>
        </is>
      </c>
      <c r="E8" s="72" t="n">
        <v>6043</v>
      </c>
      <c r="F8" s="72" t="n">
        <v>0</v>
      </c>
      <c r="G8" s="73" t="n">
        <v>710.11</v>
      </c>
      <c r="H8" s="72">
        <f>E8*G8</f>
        <v/>
      </c>
      <c r="I8" s="72">
        <f>F8*G8</f>
        <v/>
      </c>
      <c r="J8" s="72">
        <f>H8+I8</f>
        <v/>
      </c>
      <c r="K8" s="71" t="n"/>
    </row>
    <row r="9" ht="34" customHeight="1" s="4">
      <c r="A9" s="70" t="n">
        <v>2</v>
      </c>
      <c r="B9" s="71" t="inlineStr">
        <is>
          <t>J-AC-OF-SM-ADSS-12D</t>
        </is>
      </c>
      <c r="C9" s="71" t="inlineStr">
        <is>
          <t>Pengadaan dan Pemasangan Kabel Udara Fiber Optik All Dielectric Self Supporting Cable (ADSS) Single Mode 12 Core G.652.D</t>
        </is>
      </c>
      <c r="D9" s="70" t="inlineStr">
        <is>
          <t>meter</t>
        </is>
      </c>
      <c r="E9" s="72" t="n">
        <v>0</v>
      </c>
      <c r="F9" s="72" t="n">
        <v>4307</v>
      </c>
      <c r="G9" s="73" t="n">
        <v>710.11</v>
      </c>
      <c r="H9" s="72">
        <f>E9*G9</f>
        <v/>
      </c>
      <c r="I9" s="72">
        <f>F9*G9</f>
        <v/>
      </c>
      <c r="J9" s="72">
        <f>H9+I9</f>
        <v/>
      </c>
      <c r="K9" s="71" t="n"/>
    </row>
    <row r="10" ht="34" customHeight="1" s="4">
      <c r="A10" s="70" t="n">
        <v>3</v>
      </c>
      <c r="B10" s="71" t="inlineStr">
        <is>
          <t>M-ODP-SOLID-PB-8</t>
        </is>
      </c>
      <c r="C10" s="71" t="inlineStr">
        <is>
          <t>PENGADAAN DAN PEMASANGAN ODP TYPE SOLID KAP 8 CORE ADAPTOR SC/UPC TERDIRI DARI 1 BOX SPLITER (TERMASUK 1 SPLITER 1:8), 1 BOX DUMMY BESERTA ACCESSORIES, BERIKUT PELABELAN DAN PENEMPELAN QR CODE (DISEDIAKAN OLEH TELKOM)</t>
        </is>
      </c>
      <c r="D10" s="70" t="inlineStr">
        <is>
          <t>Bh</t>
        </is>
      </c>
      <c r="E10" s="72" t="n">
        <v>647059</v>
      </c>
      <c r="F10" s="72" t="n">
        <v>0</v>
      </c>
      <c r="G10" s="73" t="n">
        <v>3</v>
      </c>
      <c r="H10" s="72">
        <f>E10*G10</f>
        <v/>
      </c>
      <c r="I10" s="72">
        <f>F10*G10</f>
        <v/>
      </c>
      <c r="J10" s="72">
        <f>H10+I10</f>
        <v/>
      </c>
      <c r="K10" s="71" t="n"/>
    </row>
    <row r="11" ht="34" customHeight="1" s="4">
      <c r="A11" s="70" t="n">
        <v>4</v>
      </c>
      <c r="B11" s="71" t="inlineStr">
        <is>
          <t>J-ODP-SOLID-PB-8</t>
        </is>
      </c>
      <c r="C11" s="71" t="inlineStr">
        <is>
          <t>PENGADAAN DAN PEMASANGAN ODP TYPE SOLID KAP 8 CORE ADAPTOR SC/UPC TERDIRI DARI 1 BOX SPLITER (TERMASUK 1 SPLITER 1:8), 1 BOX DUMMY BESERTA ACCESSORIES, BERIKUT PELABELAN DAN PENEMPELAN QR CODE (DISEDIAKAN OLEH TELKOM)</t>
        </is>
      </c>
      <c r="D11" s="70" t="inlineStr">
        <is>
          <t>Bh</t>
        </is>
      </c>
      <c r="E11" s="72" t="n">
        <v>0</v>
      </c>
      <c r="F11" s="72" t="n">
        <v>156514</v>
      </c>
      <c r="G11" s="73" t="n">
        <v>3</v>
      </c>
      <c r="H11" s="72">
        <f>E11*G11</f>
        <v/>
      </c>
      <c r="I11" s="72">
        <f>F11*G11</f>
        <v/>
      </c>
      <c r="J11" s="72">
        <f>H11+I11</f>
        <v/>
      </c>
      <c r="K11" s="71" t="n"/>
    </row>
    <row r="12" ht="34" customHeight="1" s="4">
      <c r="A12" s="70" t="n">
        <v>5</v>
      </c>
      <c r="B12" s="71" t="inlineStr">
        <is>
          <t>M-PU-AS-HL</t>
        </is>
      </c>
      <c r="C12" s="71" t="inlineStr">
        <is>
          <t>Pengadaan dan Pemasangan Aksesoris Tiang Helical Performed Grip untuk Kabel ADSS</t>
        </is>
      </c>
      <c r="D12" s="70" t="inlineStr">
        <is>
          <t>pcs</t>
        </is>
      </c>
      <c r="E12" s="72" t="n">
        <v>15401</v>
      </c>
      <c r="F12" s="72" t="n">
        <v>0</v>
      </c>
      <c r="G12" s="73" t="n">
        <v>42</v>
      </c>
      <c r="H12" s="72">
        <f>E12*G12</f>
        <v/>
      </c>
      <c r="I12" s="72">
        <f>F12*G12</f>
        <v/>
      </c>
      <c r="J12" s="72">
        <f>H12+I12</f>
        <v/>
      </c>
      <c r="K12" s="71" t="n"/>
    </row>
    <row r="13" ht="34" customHeight="1" s="4">
      <c r="A13" s="70" t="n">
        <v>6</v>
      </c>
      <c r="B13" s="71" t="inlineStr">
        <is>
          <t>J-PU-AS-HL</t>
        </is>
      </c>
      <c r="C13" s="71" t="inlineStr">
        <is>
          <t>Pengadaan dan Pemasangan Aksesoris Tiang Helical Performed Grip untuk Kabel ADSS</t>
        </is>
      </c>
      <c r="D13" s="70" t="inlineStr">
        <is>
          <t>pcs</t>
        </is>
      </c>
      <c r="E13" s="72" t="n">
        <v>0</v>
      </c>
      <c r="F13" s="72" t="n">
        <v>8253</v>
      </c>
      <c r="G13" s="73" t="n">
        <v>42</v>
      </c>
      <c r="H13" s="72">
        <f>E13*G13</f>
        <v/>
      </c>
      <c r="I13" s="72">
        <f>F13*G13</f>
        <v/>
      </c>
      <c r="J13" s="72">
        <f>H13+I13</f>
        <v/>
      </c>
      <c r="K13" s="71" t="n"/>
    </row>
    <row r="14" ht="34" customHeight="1" s="4">
      <c r="A14" s="70" t="n">
        <v>7</v>
      </c>
      <c r="B14" s="71" t="inlineStr">
        <is>
          <t>M-PU-AS-SC</t>
        </is>
      </c>
      <c r="C14" s="71" t="inlineStr">
        <is>
          <t>Pengadaan dan Pemasangan Aksesoris Tiang Suspension Clamp Corong untuk Kabel ADSS</t>
        </is>
      </c>
      <c r="D14" s="70" t="inlineStr">
        <is>
          <t>pcs</t>
        </is>
      </c>
      <c r="E14" s="72" t="n">
        <v>15400</v>
      </c>
      <c r="F14" s="72" t="n">
        <v>0</v>
      </c>
      <c r="G14" s="73" t="n">
        <v>28</v>
      </c>
      <c r="H14" s="72">
        <f>E14*G14</f>
        <v/>
      </c>
      <c r="I14" s="72">
        <f>F14*G14</f>
        <v/>
      </c>
      <c r="J14" s="72">
        <f>H14+I14</f>
        <v/>
      </c>
      <c r="K14" s="71" t="n"/>
    </row>
    <row r="15" ht="34" customHeight="1" s="4">
      <c r="A15" s="70" t="n">
        <v>8</v>
      </c>
      <c r="B15" s="71" t="inlineStr">
        <is>
          <t>J-PU-AS-SC</t>
        </is>
      </c>
      <c r="C15" s="71" t="inlineStr">
        <is>
          <t>Pengadaan dan Pemasangan Aksesoris Tiang Suspension Clamp Corong untuk Kabel ADSS</t>
        </is>
      </c>
      <c r="D15" s="70" t="inlineStr">
        <is>
          <t>pcs</t>
        </is>
      </c>
      <c r="E15" s="72" t="n">
        <v>0</v>
      </c>
      <c r="F15" s="72" t="n">
        <v>8253</v>
      </c>
      <c r="G15" s="73" t="n">
        <v>28</v>
      </c>
      <c r="H15" s="72">
        <f>E15*G15</f>
        <v/>
      </c>
      <c r="I15" s="72">
        <f>F15*G15</f>
        <v/>
      </c>
      <c r="J15" s="72">
        <f>H15+I15</f>
        <v/>
      </c>
      <c r="K15" s="71" t="n"/>
    </row>
    <row r="16" ht="34" customHeight="1" s="4">
      <c r="A16" s="70" t="n">
        <v>9</v>
      </c>
      <c r="B16" s="71" t="inlineStr">
        <is>
          <t>M-PU-C7.0-150</t>
        </is>
      </c>
      <c r="C16" s="71" t="inlineStr">
        <is>
          <t>Pengadaan dan Pemasangan Tiang Beton 7 Meter dengan Kekuatan Tarik 150 Kg</t>
        </is>
      </c>
      <c r="D16" s="70" t="inlineStr">
        <is>
          <t>Unit</t>
        </is>
      </c>
      <c r="E16" s="72" t="n">
        <v>2117140</v>
      </c>
      <c r="F16" s="72" t="n">
        <v>0</v>
      </c>
      <c r="G16" s="73" t="n">
        <v>10</v>
      </c>
      <c r="H16" s="72">
        <f>E16*G16</f>
        <v/>
      </c>
      <c r="I16" s="72">
        <f>F16*G16</f>
        <v/>
      </c>
      <c r="J16" s="72">
        <f>H16+I16</f>
        <v/>
      </c>
      <c r="K16" s="71" t="n"/>
    </row>
    <row r="17" ht="34" customHeight="1" s="4">
      <c r="A17" s="70" t="n">
        <v>10</v>
      </c>
      <c r="B17" s="71" t="inlineStr">
        <is>
          <t>J-PU-C7.0-150</t>
        </is>
      </c>
      <c r="C17" s="71" t="inlineStr">
        <is>
          <t>Pengadaan dan Pemasangan Tiang Beton 7 Meter dengan Kekuatan Tarik 150 Kg</t>
        </is>
      </c>
      <c r="D17" s="70" t="inlineStr">
        <is>
          <t>Unit</t>
        </is>
      </c>
      <c r="E17" s="72" t="n">
        <v>0</v>
      </c>
      <c r="F17" s="72" t="n">
        <v>596000</v>
      </c>
      <c r="G17" s="73" t="n">
        <v>10</v>
      </c>
      <c r="H17" s="72">
        <f>E17*G17</f>
        <v/>
      </c>
      <c r="I17" s="72">
        <f>F17*G17</f>
        <v/>
      </c>
      <c r="J17" s="72">
        <f>H17+I17</f>
        <v/>
      </c>
      <c r="K17" s="71" t="n"/>
    </row>
    <row r="18" ht="34" customHeight="1" s="4">
      <c r="A18" s="70" t="n">
        <v>11</v>
      </c>
      <c r="B18" s="71" t="inlineStr">
        <is>
          <t>M-SC-OF-SM-24</t>
        </is>
      </c>
      <c r="C18" s="71" t="inlineStr">
        <is>
          <t>Pengadaan dan pemasangan alat sambung (cabang/ lurus) untuk fiber optik kapasitas 12 - 24 core</t>
        </is>
      </c>
      <c r="D18" s="70" t="inlineStr">
        <is>
          <t>pcs</t>
        </is>
      </c>
      <c r="E18" s="72" t="n">
        <v>696218</v>
      </c>
      <c r="F18" s="72" t="n">
        <v>0</v>
      </c>
      <c r="G18" s="73" t="n">
        <v>1</v>
      </c>
      <c r="H18" s="72">
        <f>E18*G18</f>
        <v/>
      </c>
      <c r="I18" s="72">
        <f>F18*G18</f>
        <v/>
      </c>
      <c r="J18" s="72">
        <f>H18+I18</f>
        <v/>
      </c>
      <c r="K18" s="71" t="n"/>
    </row>
    <row r="19" ht="34" customHeight="1" s="4">
      <c r="A19" s="70" t="n">
        <v>12</v>
      </c>
      <c r="B19" s="71" t="inlineStr">
        <is>
          <t>J-SC-OF-SM-24</t>
        </is>
      </c>
      <c r="C19" s="71" t="inlineStr">
        <is>
          <t>Pengadaan dan pemasangan alat sambung (cabang/ lurus) untuk fiber optik kapasitas 12 - 24 core</t>
        </is>
      </c>
      <c r="D19" s="70" t="inlineStr">
        <is>
          <t>pcs</t>
        </is>
      </c>
      <c r="E19" s="72" t="n">
        <v>0</v>
      </c>
      <c r="F19" s="72" t="n">
        <v>35393</v>
      </c>
      <c r="G19" s="73" t="n">
        <v>1</v>
      </c>
      <c r="H19" s="72">
        <f>E19*G19</f>
        <v/>
      </c>
      <c r="I19" s="72">
        <f>F19*G19</f>
        <v/>
      </c>
      <c r="J19" s="72">
        <f>H19+I19</f>
        <v/>
      </c>
      <c r="K19" s="71" t="n"/>
    </row>
    <row r="20" ht="34" customHeight="1" s="4">
      <c r="A20" s="70" t="n">
        <v>13</v>
      </c>
      <c r="B20" s="71" t="inlineStr">
        <is>
          <t>M-STAINLESS BELT</t>
        </is>
      </c>
      <c r="C20" s="71" t="inlineStr">
        <is>
          <t>PENGADAAN DAN PEMASANGAN AKSESORIS TIANG BESI STAINLESS BELT</t>
        </is>
      </c>
      <c r="D20" s="70" t="inlineStr">
        <is>
          <t>pcs</t>
        </is>
      </c>
      <c r="E20" s="72" t="n">
        <v>10290</v>
      </c>
      <c r="F20" s="72" t="n">
        <v>0</v>
      </c>
      <c r="G20" s="73" t="n">
        <v>42</v>
      </c>
      <c r="H20" s="72">
        <f>E20*G20</f>
        <v/>
      </c>
      <c r="I20" s="72">
        <f>F20*G20</f>
        <v/>
      </c>
      <c r="J20" s="72">
        <f>H20+I20</f>
        <v/>
      </c>
      <c r="K20" s="71" t="n"/>
    </row>
    <row r="21" ht="34" customHeight="1" s="4">
      <c r="A21" s="70" t="n">
        <v>14</v>
      </c>
      <c r="B21" s="71" t="inlineStr">
        <is>
          <t>J-STAINLESS BELT</t>
        </is>
      </c>
      <c r="C21" s="71" t="inlineStr">
        <is>
          <t>PENGADAAN DAN PEMASANGAN AKSESORIS TIANG BESI STAINLESS BELT</t>
        </is>
      </c>
      <c r="D21" s="70" t="inlineStr">
        <is>
          <t>pcs</t>
        </is>
      </c>
      <c r="E21" s="72" t="n">
        <v>0</v>
      </c>
      <c r="F21" s="72" t="n">
        <v>6280</v>
      </c>
      <c r="G21" s="73" t="n">
        <v>42</v>
      </c>
      <c r="H21" s="72">
        <f>E21*G21</f>
        <v/>
      </c>
      <c r="I21" s="72">
        <f>F21*G21</f>
        <v/>
      </c>
      <c r="J21" s="72">
        <f>H21+I21</f>
        <v/>
      </c>
      <c r="K21" s="71" t="n"/>
    </row>
    <row r="22" ht="34" customHeight="1" s="4">
      <c r="A22" s="74" t="n"/>
      <c r="B22" s="74" t="n"/>
      <c r="C22" s="75" t="inlineStr">
        <is>
          <t>TOTAL</t>
        </is>
      </c>
      <c r="D22" s="74" t="n"/>
      <c r="E22" s="74" t="n"/>
      <c r="F22" s="74" t="n"/>
      <c r="G22" s="74" t="n"/>
      <c r="H22" s="76">
        <f>SUM(H8:H21)</f>
        <v/>
      </c>
      <c r="I22" s="76">
        <f>SUM(I8:I21)</f>
        <v/>
      </c>
      <c r="J22" s="76">
        <f>SUM(J8:J21)</f>
        <v/>
      </c>
      <c r="K22" s="74" t="n"/>
    </row>
    <row r="23" ht="34" customHeight="1" s="4"/>
    <row r="24" ht="34" customHeight="1" s="4"/>
    <row r="25" ht="34" customHeight="1" s="4"/>
    <row r="26" ht="34" customHeight="1" s="4"/>
    <row r="27" ht="34" customHeight="1" s="4"/>
    <row r="28" ht="34" customHeight="1" s="4"/>
    <row r="29" ht="34" customHeight="1" s="4"/>
    <row r="30" ht="34" customHeight="1" s="4"/>
    <row r="31" ht="34" customHeight="1" s="4"/>
    <row r="32" ht="34" customHeight="1" s="4"/>
    <row r="33" ht="34" customHeight="1" s="4"/>
    <row r="34" ht="34" customHeight="1" s="4"/>
    <row r="35" ht="34" customHeight="1" s="4"/>
    <row r="36" ht="34" customHeight="1" s="4"/>
    <row r="37" ht="34" customHeight="1" s="4"/>
    <row r="38" ht="34" customHeight="1" s="4"/>
    <row r="39" ht="34" customHeight="1" s="4"/>
    <row r="40" ht="34" customHeight="1" s="4"/>
    <row r="41" ht="34" customHeight="1" s="4"/>
    <row r="42" ht="34" customHeight="1" s="4"/>
    <row r="43" ht="34" customHeight="1" s="4"/>
    <row r="44" ht="34" customHeight="1" s="4"/>
    <row r="45" ht="34" customHeight="1" s="4"/>
    <row r="46" ht="34" customHeight="1" s="4"/>
    <row r="47" ht="34" customHeight="1" s="4"/>
    <row r="48" ht="34" customHeight="1" s="4"/>
    <row r="49" ht="34" customHeight="1" s="4"/>
    <row r="50" ht="34" customHeight="1" s="4"/>
    <row r="51" ht="34" customHeight="1" s="4"/>
    <row r="52" ht="34" customHeight="1" s="4"/>
    <row r="53" ht="34" customHeight="1" s="4"/>
    <row r="54" ht="34" customHeight="1" s="4"/>
    <row r="55" ht="34" customHeight="1" s="4"/>
    <row r="56" ht="34" customHeight="1" s="4"/>
    <row r="57" ht="34" customHeight="1" s="4"/>
    <row r="58" ht="34" customHeight="1" s="4"/>
    <row r="59" ht="34" customFormat="1" customHeight="1" s="9"/>
    <row r="60" ht="34" customHeight="1" s="4"/>
    <row r="61" ht="17" customHeight="1" s="4"/>
    <row r="62" ht="17" customHeight="1" s="4"/>
    <row r="63" ht="17" customHeight="1" s="4"/>
    <row r="64" ht="17" customHeight="1" s="4"/>
    <row r="65" ht="17" customHeight="1" s="4"/>
    <row r="66" ht="17" customHeight="1" s="4"/>
    <row r="67" ht="34" customFormat="1" customHeight="1" s="9"/>
    <row r="68" ht="34" customFormat="1" customHeight="1" s="9"/>
    <row r="69" ht="51" customHeight="1" s="4"/>
    <row r="70" ht="51" customHeight="1" s="4"/>
    <row r="71" ht="68" customHeight="1" s="4"/>
    <row r="72" ht="68" customHeight="1" s="4"/>
    <row r="73" ht="68" customHeight="1" s="4"/>
    <row r="74" ht="42.75" customHeight="1" s="4"/>
    <row r="75" ht="42.75" customHeight="1" s="4"/>
    <row r="76" ht="51" customHeight="1" s="4"/>
    <row r="77" ht="51" customHeight="1" s="4"/>
    <row r="78" ht="51" customHeight="1" s="4"/>
    <row r="79" ht="51" customHeight="1" s="4"/>
    <row r="80" ht="51" customHeight="1" s="4"/>
    <row r="81" ht="68" customHeight="1" s="4"/>
    <row r="82" ht="51" customHeight="1" s="4"/>
    <row r="83" ht="51" customHeight="1" s="4"/>
    <row r="84" ht="51" customHeight="1" s="4"/>
    <row r="85" ht="51" customHeight="1" s="4"/>
    <row r="86" ht="51" customHeight="1" s="4"/>
    <row r="87" ht="51" customHeight="1" s="4"/>
    <row r="88" ht="51" customFormat="1" customHeight="1" s="9"/>
    <row r="89" ht="34" customFormat="1" customHeight="1" s="9"/>
    <row r="90" ht="34" customHeight="1" s="4"/>
    <row r="91" ht="34" customHeight="1" s="4"/>
    <row r="92" ht="17" customHeight="1" s="4"/>
    <row r="93" ht="34" customHeight="1" s="4"/>
    <row r="94" ht="34" customHeight="1" s="4"/>
    <row r="95" ht="17" customHeight="1" s="4"/>
    <row r="96" ht="68" customHeight="1" s="4"/>
    <row r="97" ht="68" customHeight="1" s="4"/>
    <row r="98" ht="34" customHeight="1" s="4"/>
    <row r="99" ht="34" customHeight="1" s="4"/>
    <row r="100" ht="17" customHeight="1" s="4"/>
    <row r="101" ht="17" customHeight="1" s="4"/>
    <row r="102" ht="17" customHeight="1" s="4"/>
    <row r="103" ht="51" customHeight="1" s="4"/>
    <row r="104" ht="51" customHeight="1" s="4"/>
    <row r="105" ht="17" customHeight="1" s="4"/>
    <row r="106" ht="17" customHeight="1" s="4"/>
    <row r="107" ht="34" customHeight="1" s="4"/>
    <row r="108" ht="34" customHeight="1" s="4"/>
    <row r="109" ht="17" customHeight="1" s="4"/>
    <row r="110" ht="17" customHeight="1" s="4"/>
    <row r="111" ht="17" customHeight="1" s="4"/>
    <row r="112" ht="17" customHeight="1" s="4"/>
    <row r="113" ht="34" customHeight="1" s="4"/>
    <row r="114" ht="34" customHeight="1" s="4"/>
    <row r="115" ht="34" customHeight="1" s="4"/>
    <row r="116" ht="34" customHeight="1" s="4"/>
    <row r="117" ht="34" customHeight="1" s="4"/>
    <row r="118" ht="34" customHeight="1" s="4"/>
    <row r="119" ht="34" customHeight="1" s="4"/>
    <row r="120" ht="34" customHeight="1" s="4"/>
    <row r="121" ht="34" customHeight="1" s="4"/>
    <row r="122" ht="34" customHeight="1" s="4"/>
    <row r="123" ht="34" customHeight="1" s="4"/>
    <row r="124" ht="34" customHeight="1" s="4"/>
    <row r="125" ht="34" customHeight="1" s="4"/>
    <row r="126" ht="34" customHeight="1" s="4"/>
    <row r="127" ht="34" customHeight="1" s="4"/>
    <row r="128" ht="34" customHeight="1" s="4"/>
    <row r="129" ht="34" customHeight="1" s="4"/>
    <row r="130" ht="34" customHeight="1" s="4"/>
    <row r="131" ht="34" customHeight="1" s="4"/>
    <row r="132" ht="34" customHeight="1" s="4"/>
    <row r="133" ht="34" customHeight="1" s="4"/>
    <row r="134" ht="34" customHeight="1" s="4"/>
    <row r="135" ht="34" customHeight="1" s="4"/>
    <row r="136" ht="34" customHeight="1" s="4"/>
    <row r="137" ht="34" customHeight="1" s="4"/>
    <row r="138" ht="34" customHeight="1" s="4"/>
    <row r="139" ht="34" customHeight="1" s="4"/>
    <row r="140" ht="34" customHeight="1" s="4"/>
    <row r="141" ht="17" customHeight="1" s="4"/>
    <row r="142" ht="17" customHeight="1" s="4"/>
    <row r="143" ht="34" customHeight="1" s="4"/>
    <row r="144" ht="34" customHeight="1" s="4"/>
    <row r="145" ht="34" customHeight="1" s="4"/>
    <row r="146" ht="34" customHeight="1" s="4"/>
    <row r="147" ht="34" customHeight="1" s="4"/>
    <row r="148" ht="34" customHeight="1" s="4"/>
    <row r="149" ht="34" customHeight="1" s="4"/>
    <row r="150" ht="34" customHeight="1" s="4"/>
    <row r="151" ht="34" customFormat="1" customHeight="1" s="10"/>
    <row r="152" ht="34" customFormat="1" customHeight="1" s="11"/>
    <row r="153" ht="34" customHeight="1" s="4"/>
    <row r="154" ht="34" customHeight="1" s="4"/>
    <row r="155" ht="34" customHeight="1" s="4"/>
    <row r="156" ht="17" customHeight="1" s="4"/>
    <row r="157" ht="17" customHeight="1" s="4"/>
    <row r="158" ht="34" customHeight="1" s="4"/>
    <row r="159" ht="34" customHeight="1" s="4"/>
    <row r="160" ht="51" customHeight="1" s="4"/>
    <row r="161" ht="51" customFormat="1" customHeight="1" s="9"/>
    <row r="162" ht="51" customHeight="1" s="4"/>
    <row r="163" ht="51" customHeight="1" s="4"/>
    <row r="164" ht="51" customHeight="1" s="4"/>
    <row r="165" ht="51" customHeight="1" s="4"/>
    <row r="166" ht="51" customHeight="1" s="4"/>
    <row r="167" ht="51" customHeight="1" s="4"/>
    <row r="168" ht="34" customHeight="1" s="4"/>
    <row r="169" ht="34" customHeight="1" s="4"/>
    <row r="170" ht="34" customHeight="1" s="4"/>
    <row r="171" ht="34" customHeight="1" s="4"/>
    <row r="172" ht="34" customHeight="1" s="4"/>
    <row r="173" ht="34" customHeight="1" s="4"/>
    <row r="174" ht="34" customHeight="1" s="4"/>
    <row r="175" ht="34" customHeight="1" s="4"/>
    <row r="176" ht="51" customHeight="1" s="4"/>
    <row r="177" ht="51" customHeight="1" s="4"/>
    <row r="178" ht="51" customHeight="1" s="4"/>
    <row r="179" ht="51" customHeight="1" s="4"/>
    <row r="180" ht="34" customHeight="1" s="4"/>
    <row r="181" ht="34" customHeight="1" s="4"/>
    <row r="182" ht="34" customHeight="1" s="4"/>
    <row r="183" ht="34" customHeight="1" s="4"/>
    <row r="184" ht="34" customHeight="1" s="4"/>
    <row r="185" ht="34" customFormat="1" customHeight="1" s="12"/>
    <row r="186" ht="51" customFormat="1" customHeight="1" s="12"/>
    <row r="187" ht="51" customHeight="1" s="4"/>
    <row r="188" ht="51" customHeight="1" s="4"/>
    <row r="189" ht="51" customHeight="1" s="4"/>
    <row r="190" ht="51" customHeight="1" s="4"/>
    <row r="191" ht="51" customHeight="1" s="4"/>
    <row r="192" ht="51" customHeight="1" s="4"/>
    <row r="193" ht="51" customHeight="1" s="4"/>
    <row r="194" ht="51" customHeight="1" s="4"/>
    <row r="195" ht="51" customHeight="1" s="4"/>
    <row r="196" ht="34" customHeight="1" s="4"/>
    <row r="197" ht="34" customHeight="1" s="4"/>
    <row r="198" ht="51" customHeight="1" s="4"/>
    <row r="199" ht="51" customHeight="1" s="4"/>
    <row r="200" ht="34" customHeight="1" s="4"/>
    <row r="201" ht="34" customHeight="1" s="4"/>
    <row r="202" ht="51" customHeight="1" s="4"/>
    <row r="203" ht="51" customHeight="1" s="4"/>
    <row r="204" ht="34" customHeight="1" s="4"/>
    <row r="205" ht="34" customHeight="1" s="4"/>
    <row r="206" ht="34" customHeight="1" s="4"/>
    <row r="207" ht="34" customHeight="1" s="4"/>
    <row r="208" ht="34" customHeight="1" s="4"/>
    <row r="209" ht="34" customHeight="1" s="4"/>
    <row r="210" ht="34" customHeight="1" s="4"/>
    <row r="211" ht="34" customHeight="1" s="4"/>
    <row r="212" ht="34" customHeight="1" s="4"/>
    <row r="213" ht="34" customHeight="1" s="4"/>
    <row r="214" ht="34" customHeight="1" s="4"/>
    <row r="215" ht="34" customHeight="1" s="4"/>
    <row r="216" ht="34" customHeight="1" s="4"/>
    <row r="217" ht="34" customHeight="1" s="4"/>
    <row r="218" ht="34" customHeight="1" s="4"/>
    <row r="219" ht="34" customHeight="1" s="4"/>
    <row r="220" ht="34" customHeight="1" s="4"/>
    <row r="221" ht="34" customHeight="1" s="4"/>
    <row r="222" ht="34" customHeight="1" s="4"/>
    <row r="223" ht="34" customHeight="1" s="4"/>
    <row r="224" ht="34" customHeight="1" s="4"/>
    <row r="225" ht="34" customHeight="1" s="4"/>
    <row r="226" ht="34" customHeight="1" s="4"/>
    <row r="227" ht="34" customHeight="1" s="4"/>
    <row r="228" ht="34" customHeight="1" s="4"/>
    <row r="229" ht="34" customHeight="1" s="4"/>
    <row r="230" ht="34" customHeight="1" s="4"/>
    <row r="231" ht="34" customHeight="1" s="4"/>
    <row r="232" ht="34" customHeight="1" s="4"/>
    <row r="233" ht="34" customHeight="1" s="4"/>
    <row r="234" ht="34" customHeight="1" s="4"/>
    <row r="235" ht="34" customHeight="1" s="4"/>
    <row r="236" ht="34" customHeight="1" s="4"/>
    <row r="237" ht="34" customHeight="1" s="4"/>
    <row r="238" ht="34" customHeight="1" s="4"/>
    <row r="239" ht="34" customHeight="1" s="4"/>
    <row r="240" ht="34" customHeight="1" s="4"/>
    <row r="241" ht="34" customHeight="1" s="4"/>
    <row r="242" ht="34" customHeight="1" s="4"/>
    <row r="243" ht="34" customHeight="1" s="4"/>
    <row r="244" ht="34" customHeight="1" s="4"/>
    <row r="245" ht="34" customHeight="1" s="4"/>
    <row r="246" ht="34" customHeight="1" s="4"/>
    <row r="247" ht="34" customHeight="1" s="4"/>
    <row r="248" ht="34" customHeight="1" s="4"/>
    <row r="249" ht="34" customHeight="1" s="4"/>
    <row r="250" ht="34" customHeight="1" s="4"/>
    <row r="251" ht="34" customHeight="1" s="4"/>
    <row r="252" ht="34" customHeight="1" s="4"/>
    <row r="253" ht="34" customHeight="1" s="4"/>
    <row r="254" ht="34" customHeight="1" s="4"/>
    <row r="255" ht="34" customHeight="1" s="4"/>
    <row r="256" ht="34" customHeight="1" s="4"/>
    <row r="257" ht="34" customHeight="1" s="4"/>
    <row r="258" ht="34" customHeight="1" s="4"/>
    <row r="259" ht="34" customHeight="1" s="4"/>
    <row r="260" ht="34" customHeight="1" s="4"/>
    <row r="261" ht="34" customHeight="1" s="4"/>
    <row r="262" ht="34" customHeight="1" s="4"/>
    <row r="263" ht="34" customHeight="1" s="4"/>
    <row r="264" ht="34" customHeight="1" s="4"/>
    <row r="265" ht="34" customHeight="1" s="4"/>
    <row r="266" ht="34" customHeight="1" s="4"/>
    <row r="267" ht="34" customHeight="1" s="4"/>
    <row r="268" ht="34" customHeight="1" s="4"/>
    <row r="269" ht="34" customHeight="1" s="4"/>
    <row r="270" ht="34" customHeight="1" s="4"/>
    <row r="271" ht="34" customHeight="1" s="4"/>
    <row r="272" ht="17" customHeight="1" s="4"/>
    <row r="273" ht="17" customHeight="1" s="4"/>
    <row r="274" ht="17" customHeight="1" s="4"/>
    <row r="275" ht="17" customHeight="1" s="4"/>
    <row r="276" ht="17" customHeight="1" s="4"/>
    <row r="277" ht="17" customHeight="1" s="4"/>
    <row r="278" ht="17" customHeight="1" s="4"/>
    <row r="279" ht="17" customHeight="1" s="4"/>
    <row r="280" ht="17" customHeight="1" s="4"/>
    <row r="281" ht="17" customHeight="1" s="4"/>
    <row r="282" ht="17" customHeight="1" s="4"/>
    <row r="283" ht="17" customHeight="1" s="4"/>
    <row r="284" ht="34" customHeight="1" s="4"/>
    <row r="285" ht="17" customHeight="1" s="4"/>
    <row r="286" ht="17" customHeight="1" s="4"/>
    <row r="287" ht="17" customHeight="1" s="4"/>
    <row r="288" ht="17" customHeight="1" s="4"/>
    <row r="289" ht="34" customHeight="1" s="4"/>
    <row r="290" ht="34" customHeight="1" s="4"/>
    <row r="291" ht="34" customHeight="1" s="4"/>
    <row r="292" ht="34" customHeight="1" s="4"/>
    <row r="293" ht="34" customHeight="1" s="4"/>
    <row r="294" ht="34" customHeight="1" s="4"/>
    <row r="295" ht="34" customHeight="1" s="4"/>
    <row r="296" ht="34" customHeight="1" s="4"/>
    <row r="297" ht="34" customHeight="1" s="4"/>
    <row r="298" ht="34" customHeight="1" s="4"/>
    <row r="299" ht="34" customHeight="1" s="4"/>
    <row r="300" ht="34" customHeight="1" s="4"/>
    <row r="301" ht="34" customHeight="1" s="4"/>
    <row r="302" ht="34" customHeight="1" s="4"/>
    <row r="303" ht="34" customHeight="1" s="4"/>
    <row r="304" ht="34" customHeight="1" s="4"/>
    <row r="305" ht="17" customHeight="1" s="4"/>
    <row r="306" ht="17" customHeight="1" s="4"/>
    <row r="307" ht="17" customHeight="1" s="4"/>
    <row r="308" ht="17" customHeight="1" s="4"/>
    <row r="309" ht="17" customHeight="1" s="4"/>
    <row r="310" ht="17" customHeight="1" s="4"/>
    <row r="311" ht="17" customHeight="1" s="4"/>
    <row r="312" ht="17" customHeight="1" s="4"/>
    <row r="313" ht="17" customHeight="1" s="4"/>
    <row r="314" ht="17" customHeight="1" s="4"/>
    <row r="315" ht="17" customHeight="1" s="4"/>
    <row r="316" ht="51" customHeight="1" s="4"/>
    <row r="317" ht="34" customHeight="1" s="4"/>
    <row r="318" ht="34" customHeight="1" s="4"/>
    <row r="319" ht="17" customHeight="1" s="4"/>
    <row r="320" ht="17" customHeight="1" s="4"/>
    <row r="321" ht="17" customHeight="1" s="4"/>
    <row r="322" ht="17" customHeight="1" s="4"/>
    <row r="323" ht="17" customHeight="1" s="4"/>
    <row r="324" ht="17" customHeight="1" s="4"/>
    <row r="325" ht="17" customHeight="1" s="4"/>
    <row r="326" ht="17" customHeight="1" s="4"/>
    <row r="327" ht="34" customHeight="1" s="4"/>
    <row r="328" ht="34" customHeight="1" s="4"/>
    <row r="329" ht="17" customHeight="1" s="4"/>
    <row r="330" ht="17" customHeight="1" s="4"/>
    <row r="331" ht="17" customHeight="1" s="4"/>
    <row r="332" ht="51" customHeight="1" s="4"/>
    <row r="333" ht="51" customHeight="1" s="4"/>
    <row r="334" ht="17" customHeight="1" s="4"/>
    <row r="335" ht="17" customHeight="1" s="4"/>
    <row r="336" ht="17" customHeight="1" s="4"/>
    <row r="337" ht="17" customHeight="1" s="4"/>
    <row r="338" ht="17" customHeight="1" s="4"/>
    <row r="339" ht="17" customHeight="1" s="4"/>
    <row r="340" ht="17" customHeight="1" s="4"/>
    <row r="341" ht="17" customHeight="1" s="4"/>
    <row r="342" ht="17" customHeight="1" s="4"/>
    <row r="343" ht="17" customHeight="1" s="4"/>
    <row r="344" ht="17" customHeight="1" s="4"/>
    <row r="345" ht="17" customHeight="1" s="4"/>
    <row r="346" ht="17" customHeight="1" s="4"/>
    <row r="347" ht="17" customHeight="1" s="4"/>
    <row r="348" ht="17" customHeight="1" s="4"/>
    <row r="349" ht="17" customHeight="1" s="4"/>
    <row r="350" ht="17" customHeight="1" s="4"/>
    <row r="351" ht="17" customHeight="1" s="4"/>
    <row r="352" ht="17" customHeight="1" s="4"/>
    <row r="353" ht="17" customHeight="1" s="4"/>
    <row r="354" ht="17" customHeight="1" s="4"/>
    <row r="355" ht="17" customHeight="1" s="4"/>
    <row r="356" ht="51" customHeight="1" s="4"/>
    <row r="357" ht="51" customHeight="1" s="4"/>
    <row r="358" ht="51" customHeight="1" s="4"/>
    <row r="359" ht="34" customHeight="1" s="4"/>
    <row r="360" ht="34" customHeight="1" s="4"/>
    <row r="361" ht="34" customHeight="1" s="4"/>
    <row r="362" ht="34" customHeight="1" s="4"/>
    <row r="363" ht="34" customHeight="1" s="4"/>
    <row r="364" ht="34" customHeight="1" s="4"/>
    <row r="365" ht="51" customHeight="1" s="4"/>
    <row r="366" ht="51" customHeight="1" s="4"/>
    <row r="367" ht="34" customHeight="1" s="4"/>
    <row r="368" ht="34" customHeight="1" s="4"/>
    <row r="369" ht="17" customHeight="1" s="4"/>
    <row r="370" ht="17" customHeight="1" s="4"/>
    <row r="371" ht="34" customHeight="1" s="4"/>
    <row r="372" ht="34" customHeight="1" s="4"/>
    <row r="373" ht="34" customHeight="1" s="4"/>
    <row r="374" ht="34" customHeight="1" s="4"/>
    <row r="375" ht="34" customHeight="1" s="4"/>
    <row r="376" ht="34" customHeight="1" s="4"/>
    <row r="377" ht="17" customHeight="1" s="4"/>
    <row r="378" ht="17" customHeight="1" s="4"/>
    <row r="379" ht="17" customHeight="1" s="4"/>
    <row r="380" ht="17" customHeight="1" s="4"/>
    <row r="381" ht="17" customHeight="1" s="4"/>
    <row r="382" ht="17" customHeight="1" s="4"/>
    <row r="383" ht="17" customHeight="1" s="4"/>
    <row r="384" ht="17" customHeight="1" s="4"/>
    <row r="385" ht="17" customHeight="1" s="4"/>
    <row r="386" ht="17" customHeight="1" s="4"/>
    <row r="387" ht="34" customHeight="1" s="4"/>
    <row r="388" ht="34" customHeight="1" s="4"/>
    <row r="389" ht="34" customHeight="1" s="4"/>
    <row r="390" ht="34" customHeight="1" s="4"/>
    <row r="391" ht="34" customHeight="1" s="4"/>
    <row r="392" ht="34" customHeight="1" s="4"/>
    <row r="393" ht="34" customHeight="1" s="4"/>
    <row r="394" ht="34" customHeight="1" s="4"/>
    <row r="395" ht="34" customHeight="1" s="4"/>
    <row r="396" ht="34" customHeight="1" s="4"/>
    <row r="397" ht="51" customHeight="1" s="4"/>
    <row r="398" ht="51" customHeight="1" s="4"/>
    <row r="399" ht="51" customHeight="1" s="4"/>
    <row r="400" ht="51" customHeight="1" s="4"/>
    <row r="401" ht="34" customHeight="1" s="4"/>
    <row r="402" ht="34" customHeight="1" s="4"/>
    <row r="403" ht="17" customHeight="1" s="4"/>
    <row r="404" ht="17" customHeight="1" s="4"/>
    <row r="405" ht="17" customHeight="1" s="4"/>
    <row r="406" ht="17" customHeight="1" s="4"/>
    <row r="407" ht="34" customHeight="1" s="4"/>
    <row r="408" ht="34" customHeight="1" s="4"/>
    <row r="409" ht="34" customHeight="1" s="4"/>
    <row r="410" ht="51" customHeight="1" s="4"/>
    <row r="411" ht="17" customHeight="1" s="4"/>
    <row r="412" ht="51" customHeight="1" s="4"/>
    <row r="413" ht="51" customHeight="1" s="4"/>
    <row r="414" ht="51" customHeight="1" s="4"/>
    <row r="415" ht="51" customHeight="1" s="4"/>
    <row r="416" ht="17" customHeight="1" s="4"/>
    <row r="417" ht="17" customHeight="1" s="4"/>
    <row r="418" ht="17" customHeight="1" s="4"/>
    <row r="419" ht="34" customHeight="1" s="4"/>
    <row r="420" ht="34" customHeight="1" s="4"/>
    <row r="421" ht="17" customHeight="1" s="4"/>
    <row r="422" ht="17" customHeight="1" s="4"/>
    <row r="423" ht="68" customHeight="1" s="4"/>
    <row r="424" ht="68" customHeight="1" s="4"/>
    <row r="425" ht="17" customHeight="1" s="4"/>
    <row r="426" ht="17" customHeight="1" s="4"/>
    <row r="427" ht="34" customHeight="1" s="4"/>
    <row r="428" ht="34" customHeight="1" s="4"/>
    <row r="429" ht="34" customHeight="1" s="4"/>
    <row r="430" ht="34" customHeight="1" s="4"/>
    <row r="431" ht="17" customHeight="1" s="4"/>
    <row r="432" ht="17" customHeight="1" s="4"/>
    <row r="433" ht="17" customHeight="1" s="4"/>
    <row r="434" ht="17" customHeight="1" s="4"/>
    <row r="435" ht="34" customHeight="1" s="4"/>
    <row r="436" ht="17" customHeight="1" s="4"/>
    <row r="437" ht="17" customHeight="1" s="4"/>
    <row r="438" ht="17" customHeight="1" s="4"/>
    <row r="439" ht="51" customHeight="1" s="4"/>
    <row r="440" ht="34" customHeight="1" s="4"/>
    <row r="441" ht="17" customHeight="1" s="4"/>
    <row r="442" ht="17" customHeight="1" s="4"/>
    <row r="443" ht="17" customHeight="1" s="4"/>
    <row r="444" ht="68" customHeight="1" s="4"/>
    <row r="445" ht="17" customHeight="1" s="4"/>
    <row r="446" ht="17" customHeight="1" s="4"/>
    <row r="447" ht="17" customHeight="1" s="4"/>
    <row r="448" ht="51" customHeight="1" s="4"/>
    <row r="449" ht="17" customHeight="1" s="4"/>
    <row r="450" ht="17" customHeight="1" s="4"/>
    <row r="451" ht="17" customHeight="1" s="4"/>
    <row r="452" ht="34" customHeight="1" s="4"/>
    <row r="453" ht="34" customHeight="1" s="4"/>
    <row r="454" ht="34" customHeight="1" s="4"/>
    <row r="455" ht="34" customHeight="1" s="4"/>
    <row r="456" ht="34" customHeight="1" s="4"/>
    <row r="457" ht="34" customHeight="1" s="4"/>
    <row r="458" ht="17" customHeight="1" s="4"/>
    <row r="459" ht="101" customHeight="1" s="4"/>
    <row r="460" ht="101" customHeight="1" s="4"/>
    <row r="461" ht="17" customHeight="1" s="4"/>
    <row r="462" ht="17" customHeight="1" s="4"/>
    <row r="463" ht="68" customHeight="1" s="4"/>
    <row r="464" ht="68" customHeight="1" s="4"/>
    <row r="465" ht="118" customHeight="1" s="4"/>
    <row r="466" ht="118" customHeight="1" s="4"/>
    <row r="467" ht="118" customHeight="1" s="4"/>
    <row r="468" ht="118" customHeight="1" s="4"/>
    <row r="469" ht="68" customHeight="1" s="4"/>
    <row r="470" ht="68" customHeight="1" s="4"/>
    <row r="471" ht="118" customHeight="1" s="4"/>
    <row r="472" ht="118" customHeight="1" s="4"/>
    <row r="473" ht="118" customHeight="1" s="4"/>
    <row r="474" ht="118" customHeight="1" s="4"/>
    <row r="475" ht="51" customHeight="1" s="4"/>
    <row r="476" ht="51" customHeight="1" s="4"/>
    <row r="477" ht="68" customHeight="1" s="4"/>
    <row r="478" ht="68" customHeight="1" s="4"/>
    <row r="479" ht="68" customHeight="1" s="4"/>
    <row r="480" ht="68" customHeight="1" s="4"/>
    <row r="481" ht="17" customHeight="1" s="4"/>
    <row r="482" ht="17" customHeight="1" s="4"/>
    <row r="483" ht="17" customHeight="1" s="4"/>
    <row r="484" ht="17" customHeight="1" s="4"/>
    <row r="485" ht="17" customHeight="1" s="4"/>
    <row r="486" ht="17" customHeight="1" s="4"/>
    <row r="487" ht="17" customHeight="1" s="4"/>
    <row r="488" ht="17" customHeight="1" s="4"/>
    <row r="489" ht="34" customHeight="1" s="4"/>
    <row r="490" ht="34" customHeight="1" s="4"/>
    <row r="491" ht="51" customHeight="1" s="4"/>
    <row r="492" ht="51" customHeight="1" s="4"/>
    <row r="493" ht="51" customHeight="1" s="4"/>
    <row r="494" ht="51" customHeight="1" s="4"/>
    <row r="495" ht="17" customHeight="1" s="4"/>
    <row r="496" ht="17" customHeight="1" s="4"/>
    <row r="497" ht="51" customHeight="1" s="4"/>
    <row r="498" ht="51" customHeight="1" s="4"/>
    <row r="499" ht="51" customHeight="1" s="4"/>
    <row r="500" ht="51" customHeight="1" s="4"/>
    <row r="501" ht="17" customHeight="1" s="4"/>
    <row r="502" ht="17" customHeight="1" s="4"/>
    <row r="503" ht="17" customHeight="1" s="4"/>
    <row r="504" ht="118" customHeight="1" s="4"/>
    <row r="505" ht="118" customHeight="1" s="4"/>
    <row r="506" ht="118" customHeight="1" s="4"/>
    <row r="507" ht="118" customHeight="1" s="4"/>
    <row r="508" ht="34" customHeight="1" s="4"/>
    <row r="509" ht="17" customHeight="1" s="4"/>
    <row r="510" ht="17" customHeight="1" s="4"/>
    <row r="511" ht="17" customHeight="1" s="4"/>
    <row r="512" ht="17" customHeight="1" s="4"/>
    <row r="513" ht="17" customHeight="1" s="4"/>
    <row r="514" ht="17" customHeight="1" s="4"/>
    <row r="515" ht="17" customHeight="1" s="4"/>
    <row r="516" ht="17" customHeight="1" s="4"/>
    <row r="517" ht="17" customHeight="1" s="4"/>
    <row r="518" ht="17" customHeight="1" s="4"/>
    <row r="519" ht="17" customHeight="1" s="4"/>
    <row r="520" ht="17" customHeight="1" s="4"/>
    <row r="521" ht="17" customHeight="1" s="4"/>
    <row r="522" ht="17" customHeight="1" s="4"/>
    <row r="523" ht="68" customHeight="1" s="4"/>
    <row r="524" ht="68" customHeight="1" s="4"/>
    <row r="525" ht="84" customHeight="1" s="4"/>
    <row r="526" ht="84" customHeight="1" s="4"/>
    <row r="527" ht="51" customHeight="1" s="4"/>
    <row r="528" ht="51" customHeight="1" s="4"/>
    <row r="529" ht="51" customHeight="1" s="4"/>
    <row r="530" ht="51" customHeight="1" s="4"/>
    <row r="531" ht="17" customHeight="1" s="4"/>
    <row r="532" ht="17" customHeight="1" s="4"/>
    <row r="533" ht="17" customHeight="1" s="4"/>
    <row r="534" ht="17" customHeight="1" s="4"/>
    <row r="535" ht="34" customHeight="1" s="4"/>
    <row r="536" ht="34" customHeight="1" s="4"/>
    <row r="537" ht="34" customHeight="1" s="4"/>
    <row r="538" ht="17" customHeight="1" s="4"/>
    <row r="539" ht="17" customHeight="1" s="4"/>
    <row r="540" ht="17" customHeight="1" s="4"/>
    <row r="541" ht="17" customHeight="1" s="4"/>
    <row r="542" ht="17" customHeight="1" s="4"/>
    <row r="543" ht="17" customHeight="1" s="4"/>
    <row r="544" ht="34" customHeight="1" s="4"/>
    <row r="545" ht="34" customHeight="1" s="4"/>
    <row r="546" ht="34" customHeight="1" s="4"/>
    <row r="547" ht="34" customHeight="1" s="4"/>
    <row r="548" ht="34" customHeight="1" s="4"/>
    <row r="549" ht="34" customHeight="1" s="4"/>
    <row r="550" ht="34" customHeight="1" s="4"/>
    <row r="551" ht="17" customHeight="1" s="4"/>
    <row r="552" ht="17" customHeight="1" s="4"/>
    <row r="553" ht="17" customHeight="1" s="4"/>
    <row r="554" ht="17" customHeight="1" s="4"/>
    <row r="555" ht="17" customHeight="1" s="4"/>
    <row r="556" ht="17" customHeight="1" s="4"/>
    <row r="557" ht="17" customHeight="1" s="4"/>
    <row r="558" ht="17" customHeight="1" s="4"/>
    <row r="559" ht="34" customHeight="1" s="4"/>
    <row r="560" ht="34" customHeight="1" s="4"/>
    <row r="561" ht="34" customHeight="1" s="4"/>
    <row r="562" ht="34" customHeight="1" s="4"/>
    <row r="563" ht="34" customHeight="1" s="4"/>
    <row r="564" ht="34" customHeight="1" s="4"/>
    <row r="565" ht="17" customHeight="1" s="4"/>
    <row r="566" ht="17" customHeight="1" s="4"/>
    <row r="567" ht="34" customHeight="1" s="4"/>
    <row r="568" ht="34" customHeight="1" s="4"/>
    <row r="569" ht="17" customHeight="1" s="4"/>
    <row r="570" ht="17" customHeight="1" s="4"/>
    <row r="571" ht="17" customHeight="1" s="4"/>
    <row r="572" ht="17" customHeight="1" s="4"/>
    <row r="573" ht="34" customHeight="1" s="4"/>
    <row r="574" ht="34" customHeight="1" s="4"/>
    <row r="575" ht="68" customHeight="1" s="4"/>
    <row r="576" ht="68" customHeight="1" s="4"/>
    <row r="577" ht="34" customHeight="1" s="4"/>
    <row r="578" ht="34" customHeight="1" s="4"/>
    <row r="579" ht="34" customHeight="1" s="4"/>
    <row r="580" ht="34" customHeight="1" s="4"/>
    <row r="581" ht="34" customHeight="1" s="4"/>
    <row r="582" ht="34" customHeight="1" s="4"/>
    <row r="583" ht="34" customHeight="1" s="4"/>
    <row r="584" ht="34" customHeight="1" s="4"/>
    <row r="585" ht="34" customHeight="1" s="4"/>
    <row r="586" ht="34" customHeight="1" s="4"/>
    <row r="587" ht="34" customHeight="1" s="4"/>
    <row r="588" ht="34" customHeight="1" s="4"/>
    <row r="589" ht="34" customHeight="1" s="4"/>
    <row r="590" ht="34" customHeight="1" s="4"/>
    <row r="591" ht="34" customHeight="1" s="4"/>
    <row r="592" ht="34" customHeight="1" s="4"/>
    <row r="593" ht="34" customHeight="1" s="4"/>
    <row r="594" ht="34" customHeight="1" s="4"/>
    <row r="595" ht="34" customHeight="1" s="4"/>
    <row r="596" ht="34" customHeight="1" s="4"/>
    <row r="597" ht="34" customHeight="1" s="4"/>
    <row r="598" ht="34" customHeight="1" s="4"/>
    <row r="599" ht="34" customHeight="1" s="4"/>
    <row r="600" ht="34" customHeight="1" s="4"/>
    <row r="601" ht="34" customHeight="1" s="4"/>
    <row r="602" ht="34" customHeight="1" s="4"/>
    <row r="603" ht="34" customHeight="1" s="4"/>
    <row r="604" ht="34" customHeight="1" s="4"/>
    <row r="605" ht="34" customHeight="1" s="4"/>
    <row r="606" ht="34" customHeight="1" s="4"/>
    <row r="607" ht="34" customHeight="1" s="4"/>
    <row r="608" ht="17" customHeight="1" s="4"/>
    <row r="609" ht="17" customHeight="1" s="4"/>
    <row r="610" ht="17" customHeight="1" s="4"/>
    <row r="611" ht="34" customHeight="1" s="4"/>
    <row r="612" ht="34" customHeight="1" s="4"/>
    <row r="613" ht="34" customHeight="1" s="4"/>
    <row r="614" ht="34" customHeight="1" s="4"/>
    <row r="615" ht="34" customHeight="1" s="4"/>
    <row r="616" ht="34" customHeight="1" s="4"/>
    <row r="617" ht="34" customHeight="1" s="4"/>
    <row r="618" ht="34" customHeight="1" s="4"/>
    <row r="619" ht="34" customHeight="1" s="4"/>
    <row r="620" ht="34" customHeight="1" s="4"/>
    <row r="621" ht="68" customHeight="1" s="4"/>
    <row r="622" ht="68" customHeight="1" s="4"/>
    <row r="623" ht="68" customHeight="1" s="4"/>
    <row r="624" ht="68" customHeight="1" s="4"/>
    <row r="625" ht="51" customHeight="1" s="4"/>
    <row r="626" ht="51" customHeight="1" s="4"/>
    <row r="627" ht="34" customHeight="1" s="4"/>
    <row r="628" ht="34" customHeight="1" s="4"/>
    <row r="629" ht="51" customHeight="1" s="4"/>
    <row r="630" ht="51" customHeight="1" s="4"/>
    <row r="631" ht="34" customHeight="1" s="4"/>
    <row r="632" ht="34" customHeight="1" s="4"/>
    <row r="633" ht="84" customHeight="1" s="4"/>
    <row r="634" ht="84" customHeight="1" s="4"/>
    <row r="635" ht="51" customHeight="1" s="4"/>
    <row r="636" ht="51" customHeight="1" s="4"/>
    <row r="637" ht="34" customHeight="1" s="4"/>
    <row r="638" ht="39.6" customHeight="1" s="4"/>
    <row r="639" ht="17" customHeight="1" s="4"/>
    <row r="640" ht="17" customHeight="1" s="4"/>
    <row r="641" ht="17" customHeight="1" s="4"/>
    <row r="642" ht="17" customHeight="1" s="4"/>
    <row r="643" ht="17" customHeight="1" s="4"/>
    <row r="644" ht="17" customHeight="1" s="4"/>
    <row r="645" ht="17" customHeight="1" s="4"/>
    <row r="646" ht="17" customHeight="1" s="4"/>
    <row r="647" ht="17" customHeight="1" s="4"/>
    <row r="648" ht="34" customHeight="1" s="4"/>
    <row r="649" ht="34" customHeight="1" s="4"/>
    <row r="650" ht="34" customHeight="1" s="4"/>
    <row r="651" ht="34" customHeight="1" s="4"/>
    <row r="652" ht="34" customHeight="1" s="4"/>
    <row r="653" ht="34" customHeight="1" s="4"/>
    <row r="654" ht="17" customHeight="1" s="4"/>
    <row r="655" ht="17" customHeight="1" s="4"/>
    <row r="656" ht="34" customHeight="1" s="4"/>
    <row r="657" ht="34" customHeight="1" s="4"/>
    <row r="658" ht="34" customHeight="1" s="4"/>
    <row r="659" ht="34" customHeight="1" s="4"/>
    <row r="660" ht="34" customHeight="1" s="4"/>
    <row r="661" ht="34" customHeight="1" s="4"/>
    <row r="662" ht="34" customHeight="1" s="4"/>
    <row r="663" ht="34" customHeight="1" s="4"/>
    <row r="664" ht="34" customHeight="1" s="4"/>
    <row r="665" ht="34" customHeight="1" s="4"/>
    <row r="666" ht="17" customHeight="1" s="4"/>
    <row r="667" ht="34" customHeight="1" s="4"/>
    <row r="668" ht="34" customHeight="1" s="4"/>
    <row r="669" ht="34" customHeight="1" s="4"/>
    <row r="670" ht="34" customHeight="1" s="4"/>
    <row r="671" ht="17" customHeight="1" s="4"/>
    <row r="672" ht="17" customHeight="1" s="4"/>
    <row r="673" ht="34" customHeight="1" s="4"/>
    <row r="674" ht="34" customHeight="1" s="4"/>
    <row r="675" ht="34" customHeight="1" s="4"/>
    <row r="676" ht="34" customHeight="1" s="4"/>
    <row r="677" ht="34" customHeight="1" s="4"/>
    <row r="678" ht="34" customHeight="1" s="4"/>
    <row r="679" ht="34" customHeight="1" s="4"/>
    <row r="680" ht="34" customHeight="1" s="4"/>
    <row r="681" ht="34" customHeight="1" s="4"/>
    <row r="682" ht="34" customHeight="1" s="4"/>
    <row r="683" ht="17" customHeight="1" s="4"/>
    <row r="684" ht="17" customHeight="1" s="4"/>
    <row r="685" ht="17" customHeight="1" s="4"/>
    <row r="686" ht="34" customHeight="1" s="4"/>
    <row r="687" ht="34" customHeight="1" s="4"/>
    <row r="688" ht="17" customHeight="1" s="4"/>
    <row r="689" ht="17" customHeight="1" s="4"/>
    <row r="690" ht="17" customHeight="1" s="4"/>
    <row r="691" ht="17" customHeight="1" s="4"/>
    <row r="692" ht="17" customHeight="1" s="4"/>
    <row r="693" ht="17" customHeight="1" s="4"/>
    <row r="694" ht="17" customHeight="1" s="4"/>
    <row r="695" ht="34" customHeight="1" s="4"/>
    <row r="696" ht="34" customHeight="1" s="4"/>
    <row r="697" ht="17" customHeight="1" s="4"/>
    <row r="698" ht="17" customHeight="1" s="4"/>
    <row r="699" ht="34" customHeight="1" s="4"/>
    <row r="700" ht="34" customHeight="1" s="4"/>
    <row r="701" ht="51" customHeight="1" s="4"/>
    <row r="702" ht="51" customHeight="1" s="4"/>
    <row r="703" ht="51" customHeight="1" s="4"/>
    <row r="704" ht="51" customHeight="1" s="4"/>
    <row r="705" ht="51" customHeight="1" s="4"/>
    <row r="706" ht="51" customHeight="1" s="4"/>
    <row r="707" ht="51" customHeight="1" s="4"/>
    <row r="708" ht="51" customHeight="1" s="4"/>
    <row r="709" ht="51" customHeight="1" s="4"/>
    <row r="710" ht="51" customHeight="1" s="4"/>
    <row r="711" ht="34" customHeight="1" s="4"/>
    <row r="712" ht="34" customHeight="1" s="4"/>
    <row r="713" ht="34" customHeight="1" s="4"/>
    <row r="714" ht="34" customHeight="1" s="4"/>
    <row r="715" ht="34" customHeight="1" s="4"/>
    <row r="716" ht="34" customHeight="1" s="4"/>
    <row r="717" ht="34" customHeight="1" s="4"/>
    <row r="718" ht="34" customHeight="1" s="4"/>
    <row r="719" ht="34" customHeight="1" s="4"/>
    <row r="720" ht="34" customHeight="1" s="4"/>
    <row r="721" ht="34" customHeight="1" s="4"/>
    <row r="722" ht="34" customHeight="1" s="4"/>
    <row r="723" ht="34" customHeight="1" s="4"/>
    <row r="724" ht="17" customHeight="1" s="4"/>
    <row r="725" ht="17" customHeight="1" s="4"/>
    <row r="726" ht="17" customHeight="1" s="4"/>
    <row r="727" ht="17" customHeight="1" s="4"/>
    <row r="728" ht="17" customHeight="1" s="4"/>
    <row r="729" ht="17" customHeight="1" s="4"/>
    <row r="730" ht="34" customHeight="1" s="4"/>
    <row r="731" ht="34" customHeight="1" s="4"/>
    <row r="732" ht="51" customHeight="1" s="4"/>
    <row r="733" ht="15.6" customHeight="1" s="4"/>
    <row r="734" ht="17.6" customHeight="1" s="4"/>
    <row r="735" ht="15.6" customHeight="1" s="4"/>
  </sheetData>
  <autoFilter ref="A8:X736"/>
  <mergeCells count="14">
    <mergeCell ref="H734:J734"/>
    <mergeCell ref="E6:F6"/>
    <mergeCell ref="A735:C735"/>
    <mergeCell ref="H735:J735"/>
    <mergeCell ref="A734:C734"/>
    <mergeCell ref="G6:G7"/>
    <mergeCell ref="H733:J733"/>
    <mergeCell ref="K6:K7"/>
    <mergeCell ref="C6:C7"/>
    <mergeCell ref="A6:A7"/>
    <mergeCell ref="A733:C733"/>
    <mergeCell ref="D6:D7"/>
    <mergeCell ref="B6:B7"/>
    <mergeCell ref="H6:J6"/>
  </mergeCells>
  <conditionalFormatting sqref="B9:B732">
    <cfRule type="duplicateValues" priority="6" dxfId="0"/>
  </conditionalFormatting>
  <pageMargins left="0.7" right="0.7" top="0.75" bottom="0.75" header="0.3" footer="0.3"/>
  <pageSetup orientation="portrait" paperSize="9" scale="31"/>
  <colBreaks count="1" manualBreakCount="1">
    <brk id="16" min="0" max="253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5" customWidth="1" style="4" min="1" max="1"/>
    <col width="11" customWidth="1" style="4" min="2" max="2"/>
    <col width="28" customWidth="1" style="4" min="3" max="3"/>
    <col width="12" customWidth="1" style="4" min="4" max="4"/>
    <col width="15" customWidth="1" style="4" min="5" max="5"/>
    <col width="15" customWidth="1" style="4" min="6" max="6"/>
    <col width="14" customWidth="1" style="4" min="7" max="7"/>
    <col width="12" customWidth="1" style="4" min="8" max="8"/>
  </cols>
  <sheetData>
    <row r="1">
      <c r="A1" s="77" t="inlineStr">
        <is>
          <t>FTTH BOQ GENERATOR</t>
        </is>
      </c>
    </row>
    <row r="2"/>
    <row r="3">
      <c r="A3" s="78" t="inlineStr">
        <is>
          <t>Generated Time : 2026-06-23 10:29</t>
        </is>
      </c>
    </row>
    <row r="4">
      <c r="A4" s="78" t="inlineStr">
        <is>
          <t>Source KML     : MDN PT3 TTG-FGB DS UJUNG JAHE.kml</t>
        </is>
      </c>
    </row>
    <row r="5">
      <c r="A5" s="78">
        <f>===============================================================================</f>
        <v/>
      </c>
    </row>
    <row r="6"/>
    <row r="7"/>
    <row r="8">
      <c r="A8" s="79" t="inlineStr">
        <is>
          <t>RAW KML DATA</t>
        </is>
      </c>
    </row>
    <row r="9"/>
    <row r="10">
      <c r="A10" s="80" t="inlineStr">
        <is>
          <t>Object Type</t>
        </is>
      </c>
      <c r="B10" s="80" t="inlineStr">
        <is>
          <t>Folder</t>
        </is>
      </c>
      <c r="C10" s="80" t="inlineStr">
        <is>
          <t>Name</t>
        </is>
      </c>
      <c r="D10" s="80" t="inlineStr">
        <is>
          <t>Core</t>
        </is>
      </c>
      <c r="E10" s="80" t="inlineStr">
        <is>
          <t>Port</t>
        </is>
      </c>
      <c r="F10" s="80" t="inlineStr">
        <is>
          <t>Length (m)</t>
        </is>
      </c>
      <c r="G10" s="80" t="inlineStr">
        <is>
          <t>From Pole</t>
        </is>
      </c>
      <c r="H10" s="80" t="inlineStr">
        <is>
          <t>To Pole</t>
        </is>
      </c>
    </row>
    <row r="11">
      <c r="A11" s="78" t="inlineStr">
        <is>
          <t>point</t>
        </is>
      </c>
      <c r="B11" s="78" t="inlineStr">
        <is>
          <t>valid</t>
        </is>
      </c>
      <c r="C11" s="78" t="inlineStr">
        <is>
          <t>9067013</t>
        </is>
      </c>
      <c r="E11" s="78" t="n">
        <v>9067013</v>
      </c>
      <c r="F11" s="78" t="n">
        <v>0</v>
      </c>
    </row>
    <row r="12">
      <c r="A12" s="78" t="inlineStr">
        <is>
          <t>point</t>
        </is>
      </c>
      <c r="B12" s="78" t="inlineStr">
        <is>
          <t>valid</t>
        </is>
      </c>
      <c r="C12" s="78" t="inlineStr">
        <is>
          <t>9067016</t>
        </is>
      </c>
      <c r="E12" s="78" t="n">
        <v>9067016</v>
      </c>
      <c r="F12" s="78" t="n">
        <v>0</v>
      </c>
    </row>
    <row r="13">
      <c r="A13" s="78" t="inlineStr">
        <is>
          <t>point</t>
        </is>
      </c>
      <c r="B13" s="78" t="inlineStr">
        <is>
          <t>valid</t>
        </is>
      </c>
      <c r="C13" s="78" t="inlineStr">
        <is>
          <t>9067017</t>
        </is>
      </c>
      <c r="E13" s="78" t="n">
        <v>9067017</v>
      </c>
      <c r="F13" s="78" t="n">
        <v>0</v>
      </c>
    </row>
    <row r="14">
      <c r="A14" s="78" t="inlineStr">
        <is>
          <t>point</t>
        </is>
      </c>
      <c r="B14" s="78" t="inlineStr">
        <is>
          <t>valid</t>
        </is>
      </c>
      <c r="C14" s="78" t="inlineStr">
        <is>
          <t>9067018</t>
        </is>
      </c>
      <c r="E14" s="78" t="n">
        <v>9067018</v>
      </c>
      <c r="F14" s="78" t="n">
        <v>0</v>
      </c>
    </row>
    <row r="15">
      <c r="A15" s="78" t="inlineStr">
        <is>
          <t>point</t>
        </is>
      </c>
      <c r="B15" s="78" t="inlineStr">
        <is>
          <t>valid</t>
        </is>
      </c>
      <c r="C15" s="78" t="inlineStr">
        <is>
          <t>9067019</t>
        </is>
      </c>
      <c r="E15" s="78" t="n">
        <v>9067019</v>
      </c>
      <c r="F15" s="78" t="n">
        <v>0</v>
      </c>
    </row>
    <row r="16">
      <c r="A16" s="78" t="inlineStr">
        <is>
          <t>point</t>
        </is>
      </c>
      <c r="B16" s="78" t="inlineStr">
        <is>
          <t>valid</t>
        </is>
      </c>
      <c r="C16" s="78" t="inlineStr">
        <is>
          <t>9067020</t>
        </is>
      </c>
      <c r="E16" s="78" t="n">
        <v>9067020</v>
      </c>
      <c r="F16" s="78" t="n">
        <v>0</v>
      </c>
    </row>
    <row r="17">
      <c r="A17" s="78" t="inlineStr">
        <is>
          <t>point</t>
        </is>
      </c>
      <c r="B17" s="78" t="inlineStr">
        <is>
          <t>valid</t>
        </is>
      </c>
      <c r="C17" s="78" t="inlineStr">
        <is>
          <t>9067021</t>
        </is>
      </c>
      <c r="E17" s="78" t="n">
        <v>9067021</v>
      </c>
      <c r="F17" s="78" t="n">
        <v>0</v>
      </c>
    </row>
    <row r="18">
      <c r="A18" s="78" t="inlineStr">
        <is>
          <t>point</t>
        </is>
      </c>
      <c r="B18" s="78" t="inlineStr">
        <is>
          <t>valid</t>
        </is>
      </c>
      <c r="C18" s="78" t="inlineStr">
        <is>
          <t>9067022</t>
        </is>
      </c>
      <c r="E18" s="78" t="n">
        <v>9067022</v>
      </c>
      <c r="F18" s="78" t="n">
        <v>0</v>
      </c>
    </row>
    <row r="19">
      <c r="A19" s="78" t="inlineStr">
        <is>
          <t>point</t>
        </is>
      </c>
      <c r="B19" s="78" t="inlineStr">
        <is>
          <t>valid</t>
        </is>
      </c>
      <c r="C19" s="78" t="inlineStr">
        <is>
          <t>9067023</t>
        </is>
      </c>
      <c r="E19" s="78" t="n">
        <v>9067023</v>
      </c>
      <c r="F19" s="78" t="n">
        <v>0</v>
      </c>
    </row>
    <row r="20">
      <c r="A20" s="78" t="inlineStr">
        <is>
          <t>point</t>
        </is>
      </c>
      <c r="B20" s="78" t="inlineStr">
        <is>
          <t>valid</t>
        </is>
      </c>
      <c r="C20" s="78" t="inlineStr">
        <is>
          <t>9067024</t>
        </is>
      </c>
      <c r="E20" s="78" t="n">
        <v>9067024</v>
      </c>
      <c r="F20" s="78" t="n">
        <v>0</v>
      </c>
    </row>
    <row r="21">
      <c r="A21" s="78" t="inlineStr">
        <is>
          <t>point</t>
        </is>
      </c>
      <c r="B21" s="78" t="inlineStr">
        <is>
          <t>valid</t>
        </is>
      </c>
      <c r="C21" s="78" t="inlineStr">
        <is>
          <t>9067026</t>
        </is>
      </c>
      <c r="E21" s="78" t="n">
        <v>9067026</v>
      </c>
      <c r="F21" s="78" t="n">
        <v>0</v>
      </c>
    </row>
    <row r="22">
      <c r="A22" s="78" t="inlineStr">
        <is>
          <t>point</t>
        </is>
      </c>
      <c r="B22" s="78" t="inlineStr">
        <is>
          <t>valid</t>
        </is>
      </c>
      <c r="C22" s="78" t="inlineStr">
        <is>
          <t>9067027</t>
        </is>
      </c>
      <c r="E22" s="78" t="n">
        <v>9067027</v>
      </c>
      <c r="F22" s="78" t="n">
        <v>0</v>
      </c>
    </row>
    <row r="23">
      <c r="A23" s="78" t="inlineStr">
        <is>
          <t>point</t>
        </is>
      </c>
      <c r="B23" s="78" t="inlineStr">
        <is>
          <t>valid</t>
        </is>
      </c>
      <c r="C23" s="78" t="inlineStr">
        <is>
          <t>9067031</t>
        </is>
      </c>
      <c r="E23" s="78" t="n">
        <v>9067031</v>
      </c>
      <c r="F23" s="78" t="n">
        <v>0</v>
      </c>
    </row>
    <row r="24">
      <c r="A24" s="78" t="inlineStr">
        <is>
          <t>point</t>
        </is>
      </c>
      <c r="B24" s="78" t="inlineStr">
        <is>
          <t>valid</t>
        </is>
      </c>
      <c r="C24" s="78" t="inlineStr">
        <is>
          <t>9067033</t>
        </is>
      </c>
      <c r="E24" s="78" t="n">
        <v>9067033</v>
      </c>
      <c r="F24" s="78" t="n">
        <v>0</v>
      </c>
    </row>
    <row r="25">
      <c r="A25" s="78" t="inlineStr">
        <is>
          <t>point</t>
        </is>
      </c>
      <c r="B25" s="78" t="inlineStr">
        <is>
          <t>valid</t>
        </is>
      </c>
      <c r="C25" s="78" t="inlineStr">
        <is>
          <t>9067035</t>
        </is>
      </c>
      <c r="E25" s="78" t="n">
        <v>9067035</v>
      </c>
      <c r="F25" s="78" t="n">
        <v>0</v>
      </c>
    </row>
    <row r="26">
      <c r="A26" s="78" t="inlineStr">
        <is>
          <t>te</t>
        </is>
      </c>
      <c r="B26" s="78" t="inlineStr">
        <is>
          <t>TE</t>
        </is>
      </c>
      <c r="C26" s="78" t="inlineStr">
        <is>
          <t>TE</t>
        </is>
      </c>
      <c r="F26" s="78" t="n">
        <v>0</v>
      </c>
    </row>
    <row r="27">
      <c r="A27" s="78" t="inlineStr">
        <is>
          <t>te</t>
        </is>
      </c>
      <c r="B27" s="78" t="inlineStr">
        <is>
          <t>TE</t>
        </is>
      </c>
      <c r="C27" s="78" t="inlineStr">
        <is>
          <t>TE</t>
        </is>
      </c>
      <c r="F27" s="78" t="n">
        <v>0</v>
      </c>
    </row>
    <row r="28">
      <c r="A28" s="78" t="inlineStr">
        <is>
          <t>te</t>
        </is>
      </c>
      <c r="B28" s="78" t="inlineStr">
        <is>
          <t>TE</t>
        </is>
      </c>
      <c r="C28" s="78" t="inlineStr">
        <is>
          <t>TE</t>
        </is>
      </c>
      <c r="F28" s="78" t="n">
        <v>0</v>
      </c>
    </row>
    <row r="29">
      <c r="A29" s="78" t="inlineStr">
        <is>
          <t>te</t>
        </is>
      </c>
      <c r="B29" s="78" t="inlineStr">
        <is>
          <t>TE</t>
        </is>
      </c>
      <c r="C29" s="78" t="inlineStr">
        <is>
          <t>TE</t>
        </is>
      </c>
      <c r="F29" s="78" t="n">
        <v>0</v>
      </c>
    </row>
    <row r="30">
      <c r="A30" s="78" t="inlineStr">
        <is>
          <t>tb</t>
        </is>
      </c>
      <c r="B30" s="78" t="inlineStr">
        <is>
          <t>TB</t>
        </is>
      </c>
      <c r="C30" s="78" t="inlineStr">
        <is>
          <t>TB</t>
        </is>
      </c>
      <c r="F30" s="78" t="n">
        <v>0</v>
      </c>
    </row>
    <row r="31">
      <c r="A31" s="78" t="inlineStr">
        <is>
          <t>tb</t>
        </is>
      </c>
      <c r="B31" s="78" t="inlineStr">
        <is>
          <t>TB</t>
        </is>
      </c>
      <c r="C31" s="78" t="inlineStr">
        <is>
          <t>TB</t>
        </is>
      </c>
      <c r="F31" s="78" t="n">
        <v>0</v>
      </c>
    </row>
    <row r="32">
      <c r="A32" s="78" t="inlineStr">
        <is>
          <t>tb</t>
        </is>
      </c>
      <c r="B32" s="78" t="inlineStr">
        <is>
          <t>TB</t>
        </is>
      </c>
      <c r="C32" s="78" t="inlineStr">
        <is>
          <t>TB</t>
        </is>
      </c>
      <c r="F32" s="78" t="n">
        <v>0</v>
      </c>
    </row>
    <row r="33">
      <c r="A33" s="78" t="inlineStr">
        <is>
          <t>tb</t>
        </is>
      </c>
      <c r="B33" s="78" t="inlineStr">
        <is>
          <t>TB</t>
        </is>
      </c>
      <c r="C33" s="78" t="inlineStr">
        <is>
          <t>TB</t>
        </is>
      </c>
      <c r="F33" s="78" t="n">
        <v>0</v>
      </c>
    </row>
    <row r="34">
      <c r="A34" s="78" t="inlineStr">
        <is>
          <t>tb</t>
        </is>
      </c>
      <c r="B34" s="78" t="inlineStr">
        <is>
          <t>TB</t>
        </is>
      </c>
      <c r="C34" s="78" t="inlineStr">
        <is>
          <t>TB</t>
        </is>
      </c>
      <c r="F34" s="78" t="n">
        <v>0</v>
      </c>
    </row>
    <row r="35">
      <c r="A35" s="78" t="inlineStr">
        <is>
          <t>tb</t>
        </is>
      </c>
      <c r="B35" s="78" t="inlineStr">
        <is>
          <t>TB</t>
        </is>
      </c>
      <c r="C35" s="78" t="inlineStr">
        <is>
          <t>TB</t>
        </is>
      </c>
      <c r="F35" s="78" t="n">
        <v>0</v>
      </c>
    </row>
    <row r="36">
      <c r="A36" s="78" t="inlineStr">
        <is>
          <t>tb</t>
        </is>
      </c>
      <c r="B36" s="78" t="inlineStr">
        <is>
          <t>TB</t>
        </is>
      </c>
      <c r="C36" s="78" t="inlineStr">
        <is>
          <t>TB</t>
        </is>
      </c>
      <c r="F36" s="78" t="n">
        <v>0</v>
      </c>
    </row>
    <row r="37">
      <c r="A37" s="78" t="inlineStr">
        <is>
          <t>tb</t>
        </is>
      </c>
      <c r="B37" s="78" t="inlineStr">
        <is>
          <t>TB</t>
        </is>
      </c>
      <c r="C37" s="78" t="inlineStr">
        <is>
          <t>TB</t>
        </is>
      </c>
      <c r="F37" s="78" t="n">
        <v>0</v>
      </c>
    </row>
    <row r="38">
      <c r="A38" s="78" t="inlineStr">
        <is>
          <t>tb</t>
        </is>
      </c>
      <c r="B38" s="78" t="inlineStr">
        <is>
          <t>TB</t>
        </is>
      </c>
      <c r="C38" s="78" t="inlineStr">
        <is>
          <t>TB</t>
        </is>
      </c>
      <c r="F38" s="78" t="n">
        <v>0</v>
      </c>
    </row>
    <row r="39">
      <c r="A39" s="78" t="inlineStr">
        <is>
          <t>tb</t>
        </is>
      </c>
      <c r="B39" s="78" t="inlineStr">
        <is>
          <t>TB</t>
        </is>
      </c>
      <c r="C39" s="78" t="inlineStr">
        <is>
          <t>TB</t>
        </is>
      </c>
      <c r="F39" s="78" t="n">
        <v>0</v>
      </c>
    </row>
    <row r="40">
      <c r="A40" s="78" t="inlineStr">
        <is>
          <t>closure</t>
        </is>
      </c>
      <c r="B40" s="78" t="inlineStr">
        <is>
          <t>CLOSUR</t>
        </is>
      </c>
      <c r="C40" s="78" t="inlineStr">
        <is>
          <t>CL24 PLAN BRANCING DS05</t>
        </is>
      </c>
      <c r="D40" s="78" t="n">
        <v>24</v>
      </c>
      <c r="E40" s="78" t="n">
        <v>24</v>
      </c>
      <c r="F40" s="78" t="n">
        <v>0</v>
      </c>
    </row>
    <row r="41">
      <c r="A41" s="78" t="inlineStr">
        <is>
          <t>cable</t>
        </is>
      </c>
      <c r="B41" s="78" t="inlineStr">
        <is>
          <t>KABEL</t>
        </is>
      </c>
      <c r="C41" s="78" t="inlineStr">
        <is>
          <t>KU ADSS 12</t>
        </is>
      </c>
      <c r="D41" s="78" t="n">
        <v>12</v>
      </c>
      <c r="E41" s="78" t="n">
        <v>12</v>
      </c>
      <c r="F41" s="78" t="n">
        <v>710.11</v>
      </c>
      <c r="G41" s="78" t="inlineStr">
        <is>
          <t>TE-04</t>
        </is>
      </c>
      <c r="H41" s="78" t="inlineStr">
        <is>
          <t>TB-10</t>
        </is>
      </c>
    </row>
    <row r="42">
      <c r="A42" s="78" t="inlineStr">
        <is>
          <t>odp</t>
        </is>
      </c>
      <c r="B42" s="78" t="inlineStr">
        <is>
          <t>ODP</t>
        </is>
      </c>
      <c r="C42" s="78" t="inlineStr">
        <is>
          <t>ODP PLAN DS05</t>
        </is>
      </c>
      <c r="E42" s="78" t="n">
        <v>5</v>
      </c>
      <c r="F42" s="78" t="n">
        <v>0</v>
      </c>
    </row>
    <row r="43">
      <c r="A43" s="78" t="inlineStr">
        <is>
          <t>odp</t>
        </is>
      </c>
      <c r="B43" s="78" t="inlineStr">
        <is>
          <t>ODP</t>
        </is>
      </c>
      <c r="C43" s="78" t="inlineStr">
        <is>
          <t>ODP PLAN DS05</t>
        </is>
      </c>
      <c r="E43" s="78" t="n">
        <v>5</v>
      </c>
      <c r="F43" s="78" t="n">
        <v>0</v>
      </c>
    </row>
    <row r="44">
      <c r="A44" s="78" t="inlineStr">
        <is>
          <t>odp</t>
        </is>
      </c>
      <c r="B44" s="78" t="inlineStr">
        <is>
          <t>ODP</t>
        </is>
      </c>
      <c r="C44" s="78" t="inlineStr">
        <is>
          <t>ODP PLAN DS05</t>
        </is>
      </c>
      <c r="E44" s="78" t="n">
        <v>5</v>
      </c>
      <c r="F44" s="78" t="n">
        <v>0</v>
      </c>
    </row>
    <row r="45"/>
    <row r="46"/>
    <row r="47">
      <c r="A47" s="79" t="inlineStr">
        <is>
          <t>CABLE DETAIL</t>
        </is>
      </c>
    </row>
    <row r="48"/>
    <row r="49">
      <c r="A49" s="80" t="inlineStr">
        <is>
          <t>Cable</t>
        </is>
      </c>
      <c r="B49" s="80" t="inlineStr">
        <is>
          <t>Core</t>
        </is>
      </c>
      <c r="C49" s="80" t="inlineStr">
        <is>
          <t>From Pole</t>
        </is>
      </c>
      <c r="D49" s="80" t="inlineStr">
        <is>
          <t>To Pole</t>
        </is>
      </c>
      <c r="E49" s="80" t="inlineStr">
        <is>
          <t>Length (m)</t>
        </is>
      </c>
      <c r="F49" s="81" t="n"/>
      <c r="G49" s="81" t="n"/>
      <c r="H49" s="81" t="n"/>
    </row>
    <row r="50">
      <c r="A50" s="78" t="inlineStr">
        <is>
          <t>KU ADSS 12</t>
        </is>
      </c>
      <c r="B50" s="78" t="n">
        <v>12</v>
      </c>
      <c r="C50" s="78" t="inlineStr">
        <is>
          <t>TE-04</t>
        </is>
      </c>
      <c r="D50" s="78" t="inlineStr">
        <is>
          <t>TE-01</t>
        </is>
      </c>
      <c r="E50" s="78" t="n">
        <v>52.16</v>
      </c>
    </row>
    <row r="51">
      <c r="A51" s="78" t="inlineStr">
        <is>
          <t>KU ADSS 12</t>
        </is>
      </c>
      <c r="B51" s="78" t="n">
        <v>12</v>
      </c>
      <c r="C51" s="78" t="inlineStr">
        <is>
          <t>TE-01</t>
        </is>
      </c>
      <c r="D51" s="78" t="inlineStr">
        <is>
          <t>TE-02</t>
        </is>
      </c>
      <c r="E51" s="78" t="n">
        <v>50.2</v>
      </c>
    </row>
    <row r="52">
      <c r="A52" s="78" t="inlineStr">
        <is>
          <t>KU ADSS 12</t>
        </is>
      </c>
      <c r="B52" s="78" t="n">
        <v>12</v>
      </c>
      <c r="C52" s="78" t="inlineStr">
        <is>
          <t>TE-02</t>
        </is>
      </c>
      <c r="D52" s="78" t="inlineStr">
        <is>
          <t>TE-03</t>
        </is>
      </c>
      <c r="E52" s="78" t="n">
        <v>38.44</v>
      </c>
    </row>
    <row r="53">
      <c r="A53" s="78" t="inlineStr">
        <is>
          <t>KU ADSS 12</t>
        </is>
      </c>
      <c r="B53" s="78" t="n">
        <v>12</v>
      </c>
      <c r="C53" s="78" t="inlineStr">
        <is>
          <t>TE-03</t>
        </is>
      </c>
      <c r="D53" s="78" t="inlineStr">
        <is>
          <t>TB-01</t>
        </is>
      </c>
      <c r="E53" s="78" t="n">
        <v>59.12</v>
      </c>
    </row>
    <row r="54">
      <c r="A54" s="78" t="inlineStr">
        <is>
          <t>KU ADSS 12</t>
        </is>
      </c>
      <c r="B54" s="78" t="n">
        <v>12</v>
      </c>
      <c r="C54" s="78" t="inlineStr">
        <is>
          <t>TB-01</t>
        </is>
      </c>
      <c r="D54" s="78" t="inlineStr">
        <is>
          <t>TB-02</t>
        </is>
      </c>
      <c r="E54" s="78" t="n">
        <v>58.98</v>
      </c>
    </row>
    <row r="55">
      <c r="A55" s="78" t="inlineStr">
        <is>
          <t>KU ADSS 12</t>
        </is>
      </c>
      <c r="B55" s="78" t="n">
        <v>12</v>
      </c>
      <c r="C55" s="78" t="inlineStr">
        <is>
          <t>TB-02</t>
        </is>
      </c>
      <c r="D55" s="78" t="inlineStr">
        <is>
          <t>TB-03</t>
        </is>
      </c>
      <c r="E55" s="78" t="n">
        <v>55.71</v>
      </c>
    </row>
    <row r="56">
      <c r="A56" s="78" t="inlineStr">
        <is>
          <t>KU ADSS 12</t>
        </is>
      </c>
      <c r="B56" s="78" t="n">
        <v>12</v>
      </c>
      <c r="C56" s="78" t="inlineStr">
        <is>
          <t>TB-03</t>
        </is>
      </c>
      <c r="D56" s="78" t="inlineStr">
        <is>
          <t>TB-04</t>
        </is>
      </c>
      <c r="E56" s="78" t="n">
        <v>57.3</v>
      </c>
    </row>
    <row r="57">
      <c r="A57" s="78" t="inlineStr">
        <is>
          <t>KU ADSS 12</t>
        </is>
      </c>
      <c r="B57" s="78" t="n">
        <v>12</v>
      </c>
      <c r="C57" s="78" t="inlineStr">
        <is>
          <t>TB-04</t>
        </is>
      </c>
      <c r="D57" s="78" t="inlineStr">
        <is>
          <t>TB-05</t>
        </is>
      </c>
      <c r="E57" s="78" t="n">
        <v>55.42</v>
      </c>
    </row>
    <row r="58">
      <c r="A58" s="78" t="inlineStr">
        <is>
          <t>KU ADSS 12</t>
        </is>
      </c>
      <c r="B58" s="78" t="n">
        <v>12</v>
      </c>
      <c r="C58" s="78" t="inlineStr">
        <is>
          <t>TB-05</t>
        </is>
      </c>
      <c r="D58" s="78" t="inlineStr">
        <is>
          <t>TB-06</t>
        </is>
      </c>
      <c r="E58" s="78" t="n">
        <v>57.82</v>
      </c>
    </row>
    <row r="59">
      <c r="A59" s="78" t="inlineStr">
        <is>
          <t>KU ADSS 12</t>
        </is>
      </c>
      <c r="B59" s="78" t="n">
        <v>12</v>
      </c>
      <c r="C59" s="78" t="inlineStr">
        <is>
          <t>TB-06</t>
        </is>
      </c>
      <c r="D59" s="78" t="inlineStr">
        <is>
          <t>TB-07</t>
        </is>
      </c>
      <c r="E59" s="78" t="n">
        <v>57.51</v>
      </c>
    </row>
    <row r="60">
      <c r="A60" s="78" t="inlineStr">
        <is>
          <t>KU ADSS 12</t>
        </is>
      </c>
      <c r="B60" s="78" t="n">
        <v>12</v>
      </c>
      <c r="C60" s="78" t="inlineStr">
        <is>
          <t>TB-07</t>
        </is>
      </c>
      <c r="D60" s="78" t="inlineStr">
        <is>
          <t>TB-08</t>
        </is>
      </c>
      <c r="E60" s="78" t="n">
        <v>54.65</v>
      </c>
    </row>
    <row r="61">
      <c r="A61" s="78" t="inlineStr">
        <is>
          <t>KU ADSS 12</t>
        </is>
      </c>
      <c r="B61" s="78" t="n">
        <v>12</v>
      </c>
      <c r="C61" s="78" t="inlineStr">
        <is>
          <t>TB-08</t>
        </is>
      </c>
      <c r="D61" s="78" t="inlineStr">
        <is>
          <t>TB-09</t>
        </is>
      </c>
      <c r="E61" s="78" t="n">
        <v>56.38</v>
      </c>
    </row>
    <row r="62">
      <c r="A62" s="78" t="inlineStr">
        <is>
          <t>KU ADSS 12</t>
        </is>
      </c>
      <c r="B62" s="78" t="n">
        <v>12</v>
      </c>
      <c r="C62" s="78" t="inlineStr">
        <is>
          <t>TB-09</t>
        </is>
      </c>
      <c r="D62" s="78" t="inlineStr">
        <is>
          <t>TB-10</t>
        </is>
      </c>
      <c r="E62" s="78" t="n">
        <v>51.55</v>
      </c>
    </row>
    <row r="63"/>
    <row r="64"/>
    <row r="65">
      <c r="A65" s="79" t="inlineStr">
        <is>
          <t>SUMMARY</t>
        </is>
      </c>
    </row>
    <row r="66"/>
    <row r="67">
      <c r="A67" s="80" t="inlineStr">
        <is>
          <t>Description</t>
        </is>
      </c>
      <c r="B67" s="80" t="inlineStr">
        <is>
          <t>Value</t>
        </is>
      </c>
      <c r="C67" s="81" t="n"/>
      <c r="D67" s="81" t="n"/>
      <c r="E67" s="81" t="n"/>
      <c r="F67" s="81" t="n"/>
      <c r="G67" s="81" t="n"/>
      <c r="H67" s="81" t="n"/>
    </row>
    <row r="68">
      <c r="A68" s="78" t="inlineStr">
        <is>
          <t>Total Pole TB</t>
        </is>
      </c>
      <c r="B68" s="78" t="n">
        <v>10</v>
      </c>
    </row>
    <row r="69">
      <c r="A69" s="78" t="inlineStr">
        <is>
          <t>Total Pole TE</t>
        </is>
      </c>
      <c r="B69" s="78" t="n">
        <v>4</v>
      </c>
    </row>
    <row r="70">
      <c r="A70" s="78" t="inlineStr">
        <is>
          <t>Total Pole All</t>
        </is>
      </c>
      <c r="B70" s="78" t="n">
        <v>14</v>
      </c>
    </row>
    <row r="71">
      <c r="A71" s="78" t="inlineStr">
        <is>
          <t>Total Cable</t>
        </is>
      </c>
      <c r="B71" s="78" t="n">
        <v>1</v>
      </c>
    </row>
    <row r="72">
      <c r="A72" s="78" t="inlineStr">
        <is>
          <t>Total Cable Length (KML)</t>
        </is>
      </c>
      <c r="B72" s="78" t="n">
        <v>710.11</v>
      </c>
    </row>
    <row r="73">
      <c r="A73" s="78" t="inlineStr">
        <is>
          <t>Total Cable Length (Span)</t>
        </is>
      </c>
      <c r="B73" s="78" t="n">
        <v>705.24</v>
      </c>
    </row>
    <row r="74">
      <c r="A74" s="78" t="inlineStr">
        <is>
          <t>Total ODP</t>
        </is>
      </c>
      <c r="B74" s="78" t="n">
        <v>3</v>
      </c>
    </row>
    <row r="75">
      <c r="A75" s="78" t="inlineStr">
        <is>
          <t>Total Closure</t>
        </is>
      </c>
      <c r="B75" s="78" t="n">
        <v>1</v>
      </c>
    </row>
    <row r="76">
      <c r="A76" s="78" t="inlineStr">
        <is>
          <t>Total ODC</t>
        </is>
      </c>
      <c r="B76" s="78" t="n">
        <v>0</v>
      </c>
    </row>
    <row r="77">
      <c r="A77" s="78" t="inlineStr">
        <is>
          <t>Total Handhole</t>
        </is>
      </c>
      <c r="B77" s="78" t="n">
        <v>0</v>
      </c>
    </row>
  </sheetData>
  <mergeCells count="1"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2020-12-11T20:26:00Z</dcterms:created>
  <dcterms:modified xmlns:dcterms="http://purl.org/dc/terms/" xmlns:xsi="http://www.w3.org/2001/XMLSchema-instance" xsi:type="dcterms:W3CDTF">2026-06-23T03:29:22Z</dcterms:modified>
  <cp:lastModifiedBy>Yopie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1033-12.1.26015.26015</vt:lpwstr>
  </property>
  <property name="ICV" fmtid="{D5CDD505-2E9C-101B-9397-08002B2CF9AE}" pid="3">
    <vt:lpwstr xmlns:vt="http://schemas.openxmlformats.org/officeDocument/2006/docPropsVTypes">25498B30DDB739E02677296A21FCFA66_43</vt:lpwstr>
  </property>
  <property name="CalculationRule" fmtid="{D5CDD505-2E9C-101B-9397-08002B2CF9AE}" pid="4">
    <vt:i4 xmlns:vt="http://schemas.openxmlformats.org/officeDocument/2006/docPropsVTypes">0</vt:i4>
  </property>
</Properties>
</file>