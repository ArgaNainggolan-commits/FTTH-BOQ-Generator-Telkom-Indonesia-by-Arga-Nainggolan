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'BoQ'!$A$8:$XAF$1087</definedName>
    <definedName name="_xlnm.Print_Area" localSheetId="0">'BoQ'!$A$1:$K$1085</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0\ ;&quot; (&quot;#,##0\);&quot; -&quot;#\ ;@\ "/>
    <numFmt numFmtId="166" formatCode="#,##0.00\ ;&quot; (&quot;#,##0.00\);&quot; -&quot;#\ ;@\ "/>
    <numFmt numFmtId="167" formatCode="_(* #,##0.0000_);_(* \(#,##0.0000\);_(* &quot;-&quot;??_);_(@_)"/>
    <numFmt numFmtId="168" formatCode="_-&quot;Rp&quot;* #,##0.00_-;\-&quot;Rp&quot;* #,##0.00_-;_-&quot;Rp&quot;* &quot;-&quot;??_-;_-@_-"/>
    <numFmt numFmtId="169" formatCode="_-&quot;Rp&quot;* #,##0_-;\-&quot;Rp&quot;* #,##0_-;_-&quot;Rp&quot;* &quot;-&quot;??_-;_-@_-"/>
    <numFmt numFmtId="170" formatCode="_-* #,##0.00_-;\-* #,##0.00_-;_-* &quot;-&quot;??_-;_-@_-"/>
  </numFmts>
  <fonts count="45">
    <font>
      <name val="Calibri"/>
      <charset val="134"/>
      <color theme="1"/>
      <sz val="12"/>
      <scheme val="minor"/>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color theme="1"/>
      <sz val="11"/>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b val="1"/>
      <sz val="16"/>
    </font>
    <font>
      <b val="1"/>
      <sz val="14"/>
    </font>
    <font>
      <b val="1"/>
    </font>
  </fonts>
  <fills count="40">
    <fill>
      <patternFill/>
    </fill>
    <fill>
      <patternFill patternType="gray125"/>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168" fontId="6" fillId="0" borderId="0" applyAlignment="1">
      <alignment vertical="center"/>
    </xf>
    <xf numFmtId="9" fontId="6" fillId="0" borderId="0" applyAlignment="1">
      <alignment vertical="center"/>
    </xf>
    <xf numFmtId="41" fontId="0" fillId="0" borderId="0"/>
    <xf numFmtId="169" fontId="6" fillId="0" borderId="0" applyAlignment="1">
      <alignment vertical="center"/>
    </xf>
    <xf numFmtId="0" fontId="20" fillId="0" borderId="0" applyAlignment="1">
      <alignment vertical="center"/>
    </xf>
    <xf numFmtId="0" fontId="21" fillId="0" borderId="0" applyAlignment="1">
      <alignment vertical="center"/>
    </xf>
    <xf numFmtId="0" fontId="6" fillId="8" borderId="2" applyAlignment="1">
      <alignment vertical="center"/>
    </xf>
    <xf numFmtId="0" fontId="22" fillId="0" borderId="0" applyAlignment="1">
      <alignment vertical="center"/>
    </xf>
    <xf numFmtId="0" fontId="23" fillId="0" borderId="0" applyAlignment="1">
      <alignment vertical="center"/>
    </xf>
    <xf numFmtId="0" fontId="24" fillId="0" borderId="0" applyAlignment="1">
      <alignment vertical="center"/>
    </xf>
    <xf numFmtId="0" fontId="25" fillId="0" borderId="3" applyAlignment="1">
      <alignment vertical="center"/>
    </xf>
    <xf numFmtId="0" fontId="26" fillId="0" borderId="3" applyAlignment="1">
      <alignment vertical="center"/>
    </xf>
    <xf numFmtId="0" fontId="27" fillId="0" borderId="4" applyAlignment="1">
      <alignment vertical="center"/>
    </xf>
    <xf numFmtId="0" fontId="27" fillId="0" borderId="0" applyAlignment="1">
      <alignment vertical="center"/>
    </xf>
    <xf numFmtId="0" fontId="28" fillId="9" borderId="5" applyAlignment="1">
      <alignment vertical="center"/>
    </xf>
    <xf numFmtId="0" fontId="29" fillId="10" borderId="6" applyAlignment="1">
      <alignment vertical="center"/>
    </xf>
    <xf numFmtId="0" fontId="30" fillId="10" borderId="5" applyAlignment="1">
      <alignment vertical="center"/>
    </xf>
    <xf numFmtId="0" fontId="31" fillId="11" borderId="7" applyAlignment="1">
      <alignment vertical="center"/>
    </xf>
    <xf numFmtId="0" fontId="32" fillId="0" borderId="8" applyAlignment="1">
      <alignment vertical="center"/>
    </xf>
    <xf numFmtId="0" fontId="33" fillId="0" borderId="9" applyAlignment="1">
      <alignment vertical="center"/>
    </xf>
    <xf numFmtId="0" fontId="34" fillId="12" borderId="0" applyAlignment="1">
      <alignment vertical="center"/>
    </xf>
    <xf numFmtId="0" fontId="35" fillId="13" borderId="0" applyAlignment="1">
      <alignment vertical="center"/>
    </xf>
    <xf numFmtId="0" fontId="36" fillId="14" borderId="0" applyAlignment="1">
      <alignment vertical="center"/>
    </xf>
    <xf numFmtId="0" fontId="37" fillId="15" borderId="0" applyAlignment="1">
      <alignment vertical="center"/>
    </xf>
    <xf numFmtId="0" fontId="38" fillId="16" borderId="0" applyAlignment="1">
      <alignment vertical="center"/>
    </xf>
    <xf numFmtId="0" fontId="38" fillId="17" borderId="0" applyAlignment="1">
      <alignment vertical="center"/>
    </xf>
    <xf numFmtId="0" fontId="37" fillId="18" borderId="0" applyAlignment="1">
      <alignment vertical="center"/>
    </xf>
    <xf numFmtId="0" fontId="37" fillId="19" borderId="0" applyAlignment="1">
      <alignment vertical="center"/>
    </xf>
    <xf numFmtId="0" fontId="38" fillId="20" borderId="0" applyAlignment="1">
      <alignment vertical="center"/>
    </xf>
    <xf numFmtId="0" fontId="38" fillId="21" borderId="0" applyAlignment="1">
      <alignment vertical="center"/>
    </xf>
    <xf numFmtId="0" fontId="37" fillId="22" borderId="0" applyAlignment="1">
      <alignment vertical="center"/>
    </xf>
    <xf numFmtId="0" fontId="37" fillId="23" borderId="0" applyAlignment="1">
      <alignment vertical="center"/>
    </xf>
    <xf numFmtId="0" fontId="38" fillId="24" borderId="0" applyAlignment="1">
      <alignment vertical="center"/>
    </xf>
    <xf numFmtId="0" fontId="38" fillId="25" borderId="0" applyAlignment="1">
      <alignment vertical="center"/>
    </xf>
    <xf numFmtId="0" fontId="37" fillId="26" borderId="0" applyAlignment="1">
      <alignment vertical="center"/>
    </xf>
    <xf numFmtId="0" fontId="37" fillId="27" borderId="0" applyAlignment="1">
      <alignment vertical="center"/>
    </xf>
    <xf numFmtId="0" fontId="38" fillId="28" borderId="0" applyAlignment="1">
      <alignment vertical="center"/>
    </xf>
    <xf numFmtId="0" fontId="38" fillId="29" borderId="0" applyAlignment="1">
      <alignment vertical="center"/>
    </xf>
    <xf numFmtId="0" fontId="37" fillId="30" borderId="0" applyAlignment="1">
      <alignment vertical="center"/>
    </xf>
    <xf numFmtId="0" fontId="37" fillId="31" borderId="0" applyAlignment="1">
      <alignment vertical="center"/>
    </xf>
    <xf numFmtId="0" fontId="38" fillId="32" borderId="0" applyAlignment="1">
      <alignment vertical="center"/>
    </xf>
    <xf numFmtId="0" fontId="38" fillId="33" borderId="0" applyAlignment="1">
      <alignment vertical="center"/>
    </xf>
    <xf numFmtId="0" fontId="37" fillId="34" borderId="0" applyAlignment="1">
      <alignment vertical="center"/>
    </xf>
    <xf numFmtId="0" fontId="37" fillId="35" borderId="0" applyAlignment="1">
      <alignment vertical="center"/>
    </xf>
    <xf numFmtId="0" fontId="38" fillId="36" borderId="0" applyAlignment="1">
      <alignment vertical="center"/>
    </xf>
    <xf numFmtId="0" fontId="38" fillId="37" borderId="0" applyAlignment="1">
      <alignment vertical="center"/>
    </xf>
    <xf numFmtId="0" fontId="37" fillId="38" borderId="0" applyAlignment="1">
      <alignment vertical="center"/>
    </xf>
    <xf numFmtId="0" fontId="39" fillId="0" borderId="0"/>
    <xf numFmtId="0" fontId="39" fillId="0" borderId="0"/>
    <xf numFmtId="41" fontId="39" fillId="0" borderId="0"/>
    <xf numFmtId="43" fontId="40" fillId="0" borderId="0"/>
    <xf numFmtId="43" fontId="39" fillId="0" borderId="0"/>
    <xf numFmtId="43" fontId="39" fillId="0" borderId="0"/>
    <xf numFmtId="170" fontId="0" fillId="0" borderId="0"/>
    <xf numFmtId="0" fontId="41" fillId="0" borderId="0"/>
    <xf numFmtId="0" fontId="39" fillId="0" borderId="0"/>
    <xf numFmtId="0" fontId="6" fillId="0" borderId="0"/>
    <xf numFmtId="0" fontId="6" fillId="0" borderId="0"/>
    <xf numFmtId="0" fontId="39" fillId="0" borderId="0" applyAlignment="1">
      <alignment vertical="top"/>
    </xf>
    <xf numFmtId="0" fontId="39" fillId="0" borderId="0"/>
  </cellStyleXfs>
  <cellXfs count="78">
    <xf numFmtId="0" fontId="0" fillId="0" borderId="0" pivotButton="0" quotePrefix="0" xfId="0"/>
    <xf numFmtId="0" fontId="1" fillId="0" borderId="0" applyAlignment="1" pivotButton="0" quotePrefix="0" xfId="58">
      <alignment vertical="center"/>
    </xf>
    <xf numFmtId="0" fontId="2" fillId="2" borderId="0" pivotButton="0" quotePrefix="0" xfId="58"/>
    <xf numFmtId="0" fontId="1" fillId="2" borderId="0" applyAlignment="1" pivotButton="0" quotePrefix="0" xfId="58">
      <alignment vertical="center"/>
    </xf>
    <xf numFmtId="0" fontId="1" fillId="0" borderId="0" pivotButton="0" quotePrefix="0" xfId="58"/>
    <xf numFmtId="3" fontId="3" fillId="0" borderId="0" pivotButton="0" quotePrefix="0" xfId="56"/>
    <xf numFmtId="3" fontId="3" fillId="0" borderId="0" applyAlignment="1" pivotButton="0" quotePrefix="0" xfId="56">
      <alignment horizontal="center"/>
    </xf>
    <xf numFmtId="0" fontId="2" fillId="0" borderId="0" applyAlignment="1" pivotButton="0" quotePrefix="0" xfId="58">
      <alignment horizontal="center"/>
    </xf>
    <xf numFmtId="164" fontId="2" fillId="0" borderId="0" applyAlignment="1" pivotButton="0" quotePrefix="0" xfId="58">
      <alignment horizontal="center"/>
    </xf>
    <xf numFmtId="164" fontId="2" fillId="0" borderId="0" applyAlignment="1" pivotButton="0" quotePrefix="0" xfId="58">
      <alignment horizontal="center" vertical="center"/>
    </xf>
    <xf numFmtId="0" fontId="2" fillId="0" borderId="0" pivotButton="0" quotePrefix="0" xfId="58"/>
    <xf numFmtId="0" fontId="4" fillId="0" borderId="0" applyAlignment="1" pivotButton="0" quotePrefix="0" xfId="58">
      <alignment horizontal="center" vertical="center"/>
    </xf>
    <xf numFmtId="0" fontId="4" fillId="0" borderId="0" applyAlignment="1" pivotButton="0" quotePrefix="0" xfId="58">
      <alignment vertical="center"/>
    </xf>
    <xf numFmtId="0" fontId="4" fillId="0" borderId="0" pivotButton="0" quotePrefix="0" xfId="58"/>
    <xf numFmtId="0" fontId="5" fillId="0" borderId="0" pivotButton="0" quotePrefix="0" xfId="58"/>
    <xf numFmtId="0" fontId="6" fillId="0" borderId="0" pivotButton="0" quotePrefix="0" xfId="58"/>
    <xf numFmtId="0" fontId="6" fillId="0" borderId="0" pivotButton="0" quotePrefix="0" xfId="58"/>
    <xf numFmtId="0" fontId="6" fillId="0" borderId="0" applyAlignment="1" pivotButton="0" quotePrefix="0" xfId="58">
      <alignment horizontal="center"/>
    </xf>
    <xf numFmtId="164" fontId="6" fillId="0" borderId="0" applyAlignment="1" pivotButton="0" quotePrefix="0" xfId="58">
      <alignment horizontal="center"/>
    </xf>
    <xf numFmtId="164" fontId="6" fillId="0" borderId="0" applyAlignment="1" pivotButton="0" quotePrefix="0" xfId="58">
      <alignment horizontal="center" vertical="center"/>
    </xf>
    <xf numFmtId="0" fontId="7" fillId="0" borderId="0" applyAlignment="1" pivotButton="0" quotePrefix="0" xfId="0">
      <alignment horizontal="left" vertical="center" readingOrder="1"/>
    </xf>
    <xf numFmtId="3" fontId="8" fillId="0" borderId="0" applyAlignment="1" pivotButton="0" quotePrefix="0" xfId="60">
      <alignment horizontal="left" vertical="center"/>
    </xf>
    <xf numFmtId="3" fontId="9" fillId="0" borderId="0" applyAlignment="1" pivotButton="0" quotePrefix="0" xfId="52">
      <alignment horizontal="center" vertical="top"/>
    </xf>
    <xf numFmtId="164" fontId="6" fillId="0" borderId="0" pivotButton="0" quotePrefix="0" xfId="58"/>
    <xf numFmtId="3" fontId="8" fillId="3" borderId="1" applyAlignment="1" applyProtection="1" pivotButton="0" quotePrefix="0" xfId="49">
      <alignment horizontal="center" vertical="center" wrapText="1"/>
      <protection locked="0" hidden="0"/>
    </xf>
    <xf numFmtId="3" fontId="8" fillId="3" borderId="1" applyAlignment="1" applyProtection="1" pivotButton="0" quotePrefix="0" xfId="49">
      <alignment horizontal="center" vertical="center"/>
      <protection locked="0" hidden="0"/>
    </xf>
    <xf numFmtId="164" fontId="8" fillId="3" borderId="1" applyAlignment="1" applyProtection="1" pivotButton="0" quotePrefix="0" xfId="49">
      <alignment horizontal="center" vertical="center"/>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11" fillId="4" borderId="1" applyAlignment="1" pivotButton="0" quotePrefix="0" xfId="57">
      <alignment horizontal="center" vertical="center"/>
    </xf>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0" fontId="2" fillId="6" borderId="1" pivotButton="0" quotePrefix="0" xfId="58"/>
    <xf numFmtId="0" fontId="14" fillId="0" borderId="1" applyAlignment="1" pivotButton="0" quotePrefix="0" xfId="0">
      <alignment horizontal="center" vertical="center"/>
    </xf>
    <xf numFmtId="0" fontId="14" fillId="0" borderId="1" applyAlignment="1" pivotButton="0" quotePrefix="0" xfId="0">
      <alignment vertical="center" wrapText="1"/>
    </xf>
    <xf numFmtId="41" fontId="14" fillId="0" borderId="1" applyAlignment="1" pivotButton="0" quotePrefix="0" xfId="4">
      <alignment horizontal="center" vertical="center"/>
    </xf>
    <xf numFmtId="164" fontId="6" fillId="0" borderId="1" applyAlignment="1" pivotButton="0" quotePrefix="0" xfId="58">
      <alignment horizontal="center" vertical="center"/>
    </xf>
    <xf numFmtId="3" fontId="15" fillId="0" borderId="1" applyAlignment="1" applyProtection="1" pivotButton="0" quotePrefix="0" xfId="61">
      <alignment horizontal="center" vertical="center" wrapText="1"/>
      <protection locked="0" hidden="0"/>
    </xf>
    <xf numFmtId="0" fontId="14" fillId="0" borderId="1" applyAlignment="1" pivotButton="0" quotePrefix="0" xfId="0">
      <alignment horizontal="center" vertical="center" wrapText="1"/>
    </xf>
    <xf numFmtId="41" fontId="16" fillId="0" borderId="1" applyAlignment="1" pivotButton="0" quotePrefix="0" xfId="4">
      <alignment horizontal="center" vertical="center"/>
    </xf>
    <xf numFmtId="41" fontId="17" fillId="0" borderId="1" applyAlignment="1" pivotButton="0" quotePrefix="0" xfId="4">
      <alignment horizontal="center" vertical="center"/>
    </xf>
    <xf numFmtId="0" fontId="2" fillId="0" borderId="1" pivotButton="0" quotePrefix="0" xfId="58"/>
    <xf numFmtId="0" fontId="2" fillId="0" borderId="1" applyAlignment="1" pivotButton="0" quotePrefix="0" xfId="58">
      <alignment vertical="center"/>
    </xf>
    <xf numFmtId="0" fontId="2" fillId="2" borderId="1" pivotButton="0" quotePrefix="0" xfId="58"/>
    <xf numFmtId="3" fontId="18" fillId="7" borderId="1" applyAlignment="1" applyProtection="1" pivotButton="0" quotePrefix="0" xfId="61">
      <alignment horizontal="center" vertical="center" wrapText="1"/>
      <protection locked="0" hidden="0"/>
    </xf>
    <xf numFmtId="3" fontId="18" fillId="7" borderId="1" applyAlignment="1" applyProtection="1" pivotButton="0" quotePrefix="0" xfId="61">
      <alignment vertical="center" wrapText="1"/>
      <protection locked="0" hidden="0"/>
    </xf>
    <xf numFmtId="164" fontId="5" fillId="7" borderId="1" applyAlignment="1" pivotButton="0" quotePrefix="0" xfId="58">
      <alignment horizontal="center" vertical="center"/>
    </xf>
    <xf numFmtId="0" fontId="19" fillId="7" borderId="1" applyAlignment="1" pivotButton="0" quotePrefix="0" xfId="58">
      <alignment horizontal="center" vertical="center"/>
    </xf>
    <xf numFmtId="164" fontId="2" fillId="0" borderId="0" pivotButton="0" quotePrefix="0" xfId="58"/>
    <xf numFmtId="0" fontId="15" fillId="0" borderId="0" pivotButton="0" quotePrefix="0" xfId="58"/>
    <xf numFmtId="164" fontId="2" fillId="0" borderId="0" applyAlignment="1" pivotButton="0" quotePrefix="0" xfId="58">
      <alignment horizontal="center"/>
    </xf>
    <xf numFmtId="164" fontId="2" fillId="0" borderId="0" applyAlignment="1" pivotButton="0" quotePrefix="0" xfId="58">
      <alignment horizontal="center" vertical="center"/>
    </xf>
    <xf numFmtId="164" fontId="6" fillId="0" borderId="0" applyAlignment="1" pivotButton="0" quotePrefix="0" xfId="58">
      <alignment horizontal="center"/>
    </xf>
    <xf numFmtId="164" fontId="6" fillId="0" borderId="0" applyAlignment="1" pivotButton="0" quotePrefix="0" xfId="58">
      <alignment horizontal="center" vertical="center"/>
    </xf>
    <xf numFmtId="164" fontId="6" fillId="0" borderId="0" pivotButton="0" quotePrefix="0" xfId="58"/>
    <xf numFmtId="164" fontId="8" fillId="3"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0" fillId="4" borderId="1" applyAlignment="1" pivotButton="0" quotePrefix="0" xfId="53">
      <alignment horizontal="center" vertical="center"/>
    </xf>
    <xf numFmtId="166" fontId="10" fillId="4"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167" fontId="12" fillId="5" borderId="1" applyAlignment="1" applyProtection="1" pivotButton="0" quotePrefix="0" xfId="1">
      <alignment horizontal="center" vertical="top" wrapText="1"/>
      <protection locked="0" hidden="0"/>
    </xf>
    <xf numFmtId="167" fontId="13" fillId="5" borderId="1" applyAlignment="1" applyProtection="1" pivotButton="0" quotePrefix="0" xfId="55">
      <alignment vertical="center"/>
      <protection locked="0" hidden="0"/>
    </xf>
    <xf numFmtId="167" fontId="13" fillId="5" borderId="1" applyAlignment="1" applyProtection="1" pivotButton="0" quotePrefix="0" xfId="55">
      <alignment vertical="top"/>
      <protection locked="0" hidden="0"/>
    </xf>
    <xf numFmtId="164" fontId="8" fillId="6" borderId="1" applyAlignment="1" applyProtection="1" pivotButton="0" quotePrefix="0" xfId="49">
      <alignment horizontal="center" vertical="center"/>
      <protection locked="0" hidden="0"/>
    </xf>
    <xf numFmtId="164" fontId="6" fillId="0" borderId="1" applyAlignment="1" pivotButton="0" quotePrefix="0" xfId="58">
      <alignment horizontal="center" vertical="center"/>
    </xf>
    <xf numFmtId="164" fontId="5" fillId="7" borderId="1" applyAlignment="1" pivotButton="0" quotePrefix="0" xfId="58">
      <alignment horizontal="center" vertical="center"/>
    </xf>
    <xf numFmtId="0" fontId="0" fillId="0" borderId="13" pivotButton="0" quotePrefix="0" xfId="0"/>
    <xf numFmtId="0" fontId="0" fillId="0" borderId="12" pivotButton="0" quotePrefix="0" xfId="0"/>
    <xf numFmtId="164" fontId="2" fillId="0" borderId="0" pivotButton="0" quotePrefix="0" xfId="58"/>
    <xf numFmtId="0" fontId="42" fillId="0" borderId="17" pivotButton="0" quotePrefix="0" xfId="0"/>
    <xf numFmtId="0" fontId="0" fillId="0" borderId="17" pivotButton="0" quotePrefix="0" xfId="0"/>
    <xf numFmtId="0" fontId="43" fillId="0" borderId="17" pivotButton="0" quotePrefix="0" xfId="0"/>
    <xf numFmtId="0" fontId="44" fillId="39" borderId="17" pivotButton="0" quotePrefix="0" xfId="0"/>
    <xf numFmtId="0" fontId="44" fillId="39"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9:H57" headerRowCount="1">
  <autoFilter ref="A9:H57"/>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1">
    <outlinePr summaryBelow="1" summaryRight="1"/>
    <pageSetUpPr/>
  </sheetPr>
  <dimension ref="A1:X1087"/>
  <sheetViews>
    <sheetView tabSelected="1" topLeftCell="A7" zoomScale="85" zoomScaleNormal="85" zoomScaleSheetLayoutView="25" workbookViewId="0">
      <selection activeCell="G649" sqref="G649"/>
    </sheetView>
  </sheetViews>
  <sheetFormatPr baseColWidth="8" defaultColWidth="10.5" defaultRowHeight="14"/>
  <cols>
    <col width="5.5" customWidth="1" style="5" min="1" max="1"/>
    <col width="22.6916666666667" customWidth="1" style="5" min="2" max="2"/>
    <col width="52.6916666666667" customWidth="1" style="5" min="3" max="3"/>
    <col width="10.1916666666667" customWidth="1" style="6" min="4" max="4"/>
    <col width="14.1916666666667" customWidth="1" style="7" min="5" max="5"/>
    <col width="14.6916666666667" customWidth="1" style="52" min="6" max="6"/>
    <col width="14.6916666666667" customWidth="1" style="53" min="7" max="7"/>
    <col width="13.5" customWidth="1" style="10" min="8" max="8"/>
    <col width="12.6916666666667" customWidth="1" style="10" min="9" max="9"/>
    <col width="13.5" customWidth="1" style="10" min="10" max="10"/>
    <col width="24.1916666666667" customWidth="1" style="10" min="11" max="11"/>
    <col width="12.375" customWidth="1" style="11" min="12" max="12"/>
    <col width="10.5" customWidth="1" style="12" min="13" max="13"/>
    <col width="10.5" customWidth="1" style="13" min="14" max="24"/>
    <col width="10.5" customWidth="1" style="10" min="25" max="16256"/>
    <col width="3.69166666666667" customWidth="1" style="10" min="16257" max="16384"/>
  </cols>
  <sheetData>
    <row r="1" ht="15.5" customHeight="1">
      <c r="A1" s="14" t="inlineStr">
        <is>
          <t>DAFTAR HARGA SATUAN</t>
        </is>
      </c>
      <c r="B1" s="16" t="n"/>
      <c r="D1" s="16" t="n"/>
      <c r="E1" s="17" t="n"/>
      <c r="F1" s="54" t="n"/>
      <c r="G1" s="55" t="n"/>
    </row>
    <row r="2" ht="15.5" customHeight="1">
      <c r="A2" s="14" t="inlineStr">
        <is>
          <t>PENGADAAN DAN PEMASANGAN OSP FO AKSES</t>
        </is>
      </c>
      <c r="B2" s="16" t="n"/>
      <c r="D2" s="16" t="n"/>
      <c r="E2" s="17" t="n"/>
      <c r="F2" s="54" t="n"/>
      <c r="G2" s="55" t="n"/>
    </row>
    <row r="3" ht="15.5" customHeight="1">
      <c r="A3" s="20" t="inlineStr">
        <is>
          <t>PROJECT :  MDN PT3 TTG-FGB DS UJUNG JAHE</t>
        </is>
      </c>
      <c r="B3" s="20" t="n"/>
      <c r="C3" s="20" t="n"/>
      <c r="D3" s="16" t="n"/>
      <c r="E3" s="17" t="n"/>
      <c r="F3" s="54" t="n"/>
      <c r="G3" s="55" t="n"/>
    </row>
    <row r="4" ht="15.5" customHeight="1">
      <c r="A4" s="20" t="inlineStr">
        <is>
          <t>STO :TTG</t>
        </is>
      </c>
      <c r="B4" s="20" t="n"/>
      <c r="C4" s="21" t="n"/>
      <c r="D4" s="16" t="n"/>
      <c r="E4" s="17" t="n"/>
      <c r="F4" s="54" t="n"/>
      <c r="G4" s="55" t="n"/>
    </row>
    <row r="5" ht="15.6" customHeight="1">
      <c r="D5" s="22" t="n"/>
      <c r="E5" s="17" t="n"/>
      <c r="F5" s="17" t="n"/>
      <c r="G5" s="56">
        <f>G828*8</f>
        <v/>
      </c>
      <c r="H5" s="16" t="n"/>
      <c r="I5" s="16" t="n"/>
      <c r="J5" s="16" t="n"/>
      <c r="K5" s="16" t="n"/>
    </row>
    <row r="6">
      <c r="A6" s="24" t="inlineStr">
        <is>
          <t>NO</t>
        </is>
      </c>
      <c r="B6" s="25" t="inlineStr">
        <is>
          <t>DESIGNATOR</t>
        </is>
      </c>
      <c r="C6" s="25" t="inlineStr">
        <is>
          <t>URAIAN  PEKERJAAN</t>
        </is>
      </c>
      <c r="D6" s="25" t="inlineStr">
        <is>
          <t>SATUAN</t>
        </is>
      </c>
      <c r="E6" s="57" t="inlineStr">
        <is>
          <t>HARGA SATUAN (PAKET-1)</t>
        </is>
      </c>
      <c r="F6" s="58" t="n"/>
      <c r="G6" s="59" t="inlineStr">
        <is>
          <t>VOL</t>
        </is>
      </c>
      <c r="H6" s="60" t="inlineStr">
        <is>
          <t>TOTAL HARGA (Rp.)</t>
        </is>
      </c>
      <c r="I6" s="61" t="n"/>
      <c r="J6" s="58" t="n"/>
      <c r="K6" s="29" t="inlineStr">
        <is>
          <t>KETERANGAN</t>
        </is>
      </c>
    </row>
    <row r="7">
      <c r="A7" s="62" t="n"/>
      <c r="B7" s="62" t="n"/>
      <c r="C7" s="62" t="n"/>
      <c r="D7" s="62" t="n"/>
      <c r="E7" s="57" t="inlineStr">
        <is>
          <t>MATERIAL</t>
        </is>
      </c>
      <c r="F7" s="57" t="inlineStr">
        <is>
          <t>JASA</t>
        </is>
      </c>
      <c r="G7" s="63" t="n"/>
      <c r="H7" s="60" t="inlineStr">
        <is>
          <t>MATERIAL</t>
        </is>
      </c>
      <c r="I7" s="60" t="inlineStr">
        <is>
          <t>JASA</t>
        </is>
      </c>
      <c r="J7" s="60" t="inlineStr">
        <is>
          <t>TOTAL</t>
        </is>
      </c>
      <c r="K7" s="63" t="n"/>
    </row>
    <row r="8" ht="14.5" customHeight="1">
      <c r="A8" s="64" t="inlineStr">
        <is>
          <t>A</t>
        </is>
      </c>
      <c r="B8" s="65" t="inlineStr">
        <is>
          <t>OSP FO FTTH</t>
        </is>
      </c>
      <c r="C8" s="66" t="n"/>
      <c r="D8" s="66" t="n"/>
      <c r="E8" s="67" t="n"/>
      <c r="F8" s="67" t="n"/>
      <c r="G8" s="67" t="n"/>
      <c r="H8" s="34" t="n"/>
      <c r="I8" s="34" t="n"/>
      <c r="J8" s="34" t="n"/>
      <c r="K8" s="34" t="n"/>
    </row>
    <row r="9" hidden="1" ht="29" customHeight="1">
      <c r="A9" s="35" t="n">
        <v>1</v>
      </c>
      <c r="B9" s="35" t="inlineStr">
        <is>
          <t>DC-OF-SM-12D</t>
        </is>
      </c>
      <c r="C9" s="36" t="inlineStr">
        <is>
          <t>Pengadaan dan pemasangan kabel duct fiber optik single mode 12 core g 652 d</t>
        </is>
      </c>
      <c r="D9" s="35" t="inlineStr">
        <is>
          <t>meter</t>
        </is>
      </c>
      <c r="E9" s="37" t="n">
        <v>7069</v>
      </c>
      <c r="F9" s="37" t="n">
        <v>3446</v>
      </c>
      <c r="G9" s="68" t="n"/>
      <c r="H9" s="68">
        <f>E9*G9</f>
        <v/>
      </c>
      <c r="I9" s="68">
        <f>F9*G9</f>
        <v/>
      </c>
      <c r="J9" s="68">
        <f>SUM(H9:I9)</f>
        <v/>
      </c>
      <c r="K9" s="39" t="n"/>
      <c r="L9" s="11" t="n">
        <v>0</v>
      </c>
    </row>
    <row r="10" hidden="1" ht="29" customHeight="1">
      <c r="A10" s="35" t="n">
        <v>2</v>
      </c>
      <c r="B10" s="40" t="inlineStr">
        <is>
          <t>M-DC-OF-SM-12D</t>
        </is>
      </c>
      <c r="C10" s="36" t="inlineStr">
        <is>
          <t>Pengadaan dan pemasangan kabel duct fiber optik single mode 12 core g 652 d</t>
        </is>
      </c>
      <c r="D10" s="35" t="inlineStr">
        <is>
          <t>meter</t>
        </is>
      </c>
      <c r="E10" s="37" t="n">
        <v>7069</v>
      </c>
      <c r="F10" s="41" t="n">
        <v>0</v>
      </c>
      <c r="G10" s="68" t="n"/>
      <c r="H10" s="68">
        <f>E10*G10</f>
        <v/>
      </c>
      <c r="I10" s="68">
        <f>F10*G10</f>
        <v/>
      </c>
      <c r="J10" s="68">
        <f>SUM(H10:I10)</f>
        <v/>
      </c>
      <c r="K10" s="39" t="n"/>
      <c r="L10" s="11" t="n">
        <v>0</v>
      </c>
    </row>
    <row r="11" hidden="1" ht="29" customHeight="1">
      <c r="A11" s="35" t="n">
        <v>3</v>
      </c>
      <c r="B11" s="40" t="inlineStr">
        <is>
          <t>J-DC-OF-SM-12D</t>
        </is>
      </c>
      <c r="C11" s="36" t="inlineStr">
        <is>
          <t>Pengadaan dan pemasangan kabel duct fiber optik single mode 12 core g 652 d</t>
        </is>
      </c>
      <c r="D11" s="35" t="inlineStr">
        <is>
          <t>meter</t>
        </is>
      </c>
      <c r="E11" s="42" t="n">
        <v>0</v>
      </c>
      <c r="F11" s="37" t="n">
        <v>3446</v>
      </c>
      <c r="G11" s="68" t="n"/>
      <c r="H11" s="68">
        <f>E11*G11</f>
        <v/>
      </c>
      <c r="I11" s="68">
        <f>F11*G11</f>
        <v/>
      </c>
      <c r="J11" s="68">
        <f>SUM(H11:I11)</f>
        <v/>
      </c>
      <c r="K11" s="39" t="n"/>
      <c r="L11" s="11" t="n">
        <v>0</v>
      </c>
    </row>
    <row r="12" hidden="1" ht="29" customHeight="1">
      <c r="A12" s="35" t="n">
        <v>4</v>
      </c>
      <c r="B12" s="35" t="inlineStr">
        <is>
          <t>DC-OF-SM-24D</t>
        </is>
      </c>
      <c r="C12" s="36" t="inlineStr">
        <is>
          <t>Pengadaan dan pemasangan kabel duct fiber optik single mode 24 core g 652 d</t>
        </is>
      </c>
      <c r="D12" s="35" t="inlineStr">
        <is>
          <t>meter</t>
        </is>
      </c>
      <c r="E12" s="37" t="n">
        <v>9189</v>
      </c>
      <c r="F12" s="37" t="n">
        <v>3457</v>
      </c>
      <c r="G12" s="68" t="n"/>
      <c r="H12" s="68">
        <f>E12*G12</f>
        <v/>
      </c>
      <c r="I12" s="68">
        <f>F12*G12</f>
        <v/>
      </c>
      <c r="J12" s="68">
        <f>SUM(H12:I12)</f>
        <v/>
      </c>
      <c r="K12" s="39" t="n"/>
      <c r="L12" s="11" t="n">
        <v>0</v>
      </c>
    </row>
    <row r="13" hidden="1" ht="29" customHeight="1">
      <c r="A13" s="35" t="n">
        <v>5</v>
      </c>
      <c r="B13" s="40" t="inlineStr">
        <is>
          <t>M-DC-OF-SM-24D</t>
        </is>
      </c>
      <c r="C13" s="36" t="inlineStr">
        <is>
          <t>Pengadaan dan pemasangan kabel duct fiber optik single mode 24 core g 652 d</t>
        </is>
      </c>
      <c r="D13" s="35" t="inlineStr">
        <is>
          <t>meter</t>
        </is>
      </c>
      <c r="E13" s="37" t="n">
        <v>9189</v>
      </c>
      <c r="F13" s="37" t="n">
        <v>0</v>
      </c>
      <c r="G13" s="68" t="n"/>
      <c r="H13" s="68">
        <f>E13*G13</f>
        <v/>
      </c>
      <c r="I13" s="68">
        <f>F13*G13</f>
        <v/>
      </c>
      <c r="J13" s="68">
        <f>SUM(H13:I13)</f>
        <v/>
      </c>
      <c r="K13" s="39" t="n"/>
      <c r="L13" s="11" t="n">
        <v>0</v>
      </c>
    </row>
    <row r="14" hidden="1" ht="29" customHeight="1">
      <c r="A14" s="35" t="n">
        <v>6</v>
      </c>
      <c r="B14" s="40" t="inlineStr">
        <is>
          <t>J-DC-OF-SM-24D</t>
        </is>
      </c>
      <c r="C14" s="36" t="inlineStr">
        <is>
          <t>Pengadaan dan pemasangan kabel duct fiber optik single mode 24 core g 652 d</t>
        </is>
      </c>
      <c r="D14" s="35" t="inlineStr">
        <is>
          <t>meter</t>
        </is>
      </c>
      <c r="E14" s="42" t="n">
        <v>0</v>
      </c>
      <c r="F14" s="37" t="n">
        <v>3457</v>
      </c>
      <c r="G14" s="68" t="n"/>
      <c r="H14" s="68">
        <f>E14*G14</f>
        <v/>
      </c>
      <c r="I14" s="68">
        <f>F14*G14</f>
        <v/>
      </c>
      <c r="J14" s="68">
        <f>SUM(H14:I14)</f>
        <v/>
      </c>
      <c r="K14" s="39" t="n"/>
      <c r="L14" s="11" t="n">
        <v>0</v>
      </c>
    </row>
    <row r="15" hidden="1" ht="29" customHeight="1">
      <c r="A15" s="35" t="n">
        <v>7</v>
      </c>
      <c r="B15" s="35" t="inlineStr">
        <is>
          <t>DC-OF-SM-48D</t>
        </is>
      </c>
      <c r="C15" s="36" t="inlineStr">
        <is>
          <t>Pengadaan dan pemasangan kabel duct fiber optik single mode 48 core g 652 d</t>
        </is>
      </c>
      <c r="D15" s="35" t="inlineStr">
        <is>
          <t>meter</t>
        </is>
      </c>
      <c r="E15" s="37" t="n">
        <v>13470</v>
      </c>
      <c r="F15" s="37" t="n">
        <v>3457</v>
      </c>
      <c r="G15" s="68" t="n"/>
      <c r="H15" s="68">
        <f>E15*G15</f>
        <v/>
      </c>
      <c r="I15" s="68">
        <f>F15*G15</f>
        <v/>
      </c>
      <c r="J15" s="68">
        <f>SUM(H15:I15)</f>
        <v/>
      </c>
      <c r="K15" s="39" t="n"/>
      <c r="L15" s="11" t="n">
        <v>0</v>
      </c>
    </row>
    <row r="16" hidden="1" ht="29" customHeight="1">
      <c r="A16" s="35" t="n">
        <v>8</v>
      </c>
      <c r="B16" s="40" t="inlineStr">
        <is>
          <t>M-DC-OF-SM-48D</t>
        </is>
      </c>
      <c r="C16" s="36" t="inlineStr">
        <is>
          <t>Pengadaan dan pemasangan kabel duct fiber optik single mode 48 core g 652 d</t>
        </is>
      </c>
      <c r="D16" s="35" t="inlineStr">
        <is>
          <t>meter</t>
        </is>
      </c>
      <c r="E16" s="37" t="n">
        <v>13470</v>
      </c>
      <c r="F16" s="37" t="n">
        <v>0</v>
      </c>
      <c r="G16" s="68" t="n"/>
      <c r="H16" s="68">
        <f>E16*G16</f>
        <v/>
      </c>
      <c r="I16" s="68">
        <f>F16*G16</f>
        <v/>
      </c>
      <c r="J16" s="68">
        <f>SUM(H16:I16)</f>
        <v/>
      </c>
      <c r="K16" s="39" t="n"/>
      <c r="L16" s="11" t="n">
        <v>0</v>
      </c>
    </row>
    <row r="17" hidden="1" ht="29" customHeight="1">
      <c r="A17" s="35" t="n">
        <v>9</v>
      </c>
      <c r="B17" s="40" t="inlineStr">
        <is>
          <t>J-DC-OF-SM-48D</t>
        </is>
      </c>
      <c r="C17" s="36" t="inlineStr">
        <is>
          <t>Pengadaan dan pemasangan kabel duct fiber optik single mode 48 core g 652 d</t>
        </is>
      </c>
      <c r="D17" s="35" t="inlineStr">
        <is>
          <t>meter</t>
        </is>
      </c>
      <c r="E17" s="42" t="n">
        <v>0</v>
      </c>
      <c r="F17" s="37" t="n">
        <v>3457</v>
      </c>
      <c r="G17" s="68" t="n"/>
      <c r="H17" s="68">
        <f>E17*G17</f>
        <v/>
      </c>
      <c r="I17" s="68">
        <f>F17*G17</f>
        <v/>
      </c>
      <c r="J17" s="68">
        <f>SUM(H17:I17)</f>
        <v/>
      </c>
      <c r="K17" s="39" t="n"/>
      <c r="L17" s="11" t="n">
        <v>0</v>
      </c>
    </row>
    <row r="18" hidden="1" ht="29" customHeight="1">
      <c r="A18" s="35" t="n">
        <v>10</v>
      </c>
      <c r="B18" s="35" t="inlineStr">
        <is>
          <t>DC-OF-SM-96D</t>
        </is>
      </c>
      <c r="C18" s="36" t="inlineStr">
        <is>
          <t>Pengadaan dan pemasangan kabel duct fiber optik single mode 96 core g 652 d</t>
        </is>
      </c>
      <c r="D18" s="35" t="inlineStr">
        <is>
          <t>meter</t>
        </is>
      </c>
      <c r="E18" s="37" t="n">
        <v>34035</v>
      </c>
      <c r="F18" s="37" t="n">
        <v>3476</v>
      </c>
      <c r="G18" s="68" t="n"/>
      <c r="H18" s="68">
        <f>E18*G18</f>
        <v/>
      </c>
      <c r="I18" s="68">
        <f>F18*G18</f>
        <v/>
      </c>
      <c r="J18" s="68">
        <f>SUM(H18:I18)</f>
        <v/>
      </c>
      <c r="K18" s="39" t="n"/>
      <c r="L18" s="11" t="n">
        <v>0</v>
      </c>
    </row>
    <row r="19" hidden="1" ht="29" customHeight="1">
      <c r="A19" s="35" t="n">
        <v>11</v>
      </c>
      <c r="B19" s="40" t="inlineStr">
        <is>
          <t>M-DC-OF-SM-96D</t>
        </is>
      </c>
      <c r="C19" s="36" t="inlineStr">
        <is>
          <t>Pengadaan dan pemasangan kabel duct fiber optik single mode 96 core g 652 d</t>
        </is>
      </c>
      <c r="D19" s="35" t="inlineStr">
        <is>
          <t>meter</t>
        </is>
      </c>
      <c r="E19" s="37" t="n">
        <v>34035</v>
      </c>
      <c r="F19" s="37" t="n">
        <v>0</v>
      </c>
      <c r="G19" s="68" t="n"/>
      <c r="H19" s="68">
        <f>E19*G19</f>
        <v/>
      </c>
      <c r="I19" s="68">
        <f>F19*G19</f>
        <v/>
      </c>
      <c r="J19" s="68">
        <f>SUM(H19:I19)</f>
        <v/>
      </c>
      <c r="K19" s="43" t="n"/>
    </row>
    <row r="20" hidden="1" ht="29" customHeight="1">
      <c r="A20" s="35" t="n">
        <v>12</v>
      </c>
      <c r="B20" s="40" t="inlineStr">
        <is>
          <t>J-DC-OF-SM-96D</t>
        </is>
      </c>
      <c r="C20" s="36" t="inlineStr">
        <is>
          <t>Pengadaan dan pemasangan kabel duct fiber optik single mode 96 core g 652 d</t>
        </is>
      </c>
      <c r="D20" s="35" t="inlineStr">
        <is>
          <t>meter</t>
        </is>
      </c>
      <c r="E20" s="42" t="n">
        <v>0</v>
      </c>
      <c r="F20" s="37" t="n">
        <v>3476</v>
      </c>
      <c r="G20" s="68" t="n"/>
      <c r="H20" s="68">
        <f>E20*G20</f>
        <v/>
      </c>
      <c r="I20" s="68">
        <f>F20*G20</f>
        <v/>
      </c>
      <c r="J20" s="68">
        <f>SUM(H20:I20)</f>
        <v/>
      </c>
      <c r="K20" s="43" t="n"/>
    </row>
    <row r="21" hidden="1" ht="29" customHeight="1">
      <c r="A21" s="35" t="n">
        <v>13</v>
      </c>
      <c r="B21" s="35" t="inlineStr">
        <is>
          <t>DC-OF-SM-144D</t>
        </is>
      </c>
      <c r="C21" s="36" t="inlineStr">
        <is>
          <t>Pengadaan dan pemasangan kabel duct fiber optik single mode 144 core g 652 d</t>
        </is>
      </c>
      <c r="D21" s="35" t="inlineStr">
        <is>
          <t>meter</t>
        </is>
      </c>
      <c r="E21" s="37" t="n">
        <v>48216</v>
      </c>
      <c r="F21" s="37" t="n">
        <v>4228</v>
      </c>
      <c r="G21" s="68" t="n"/>
      <c r="H21" s="68">
        <f>E21*G21</f>
        <v/>
      </c>
      <c r="I21" s="68">
        <f>F21*G21</f>
        <v/>
      </c>
      <c r="J21" s="68">
        <f>SUM(H21:I21)</f>
        <v/>
      </c>
      <c r="K21" s="43" t="n"/>
    </row>
    <row r="22" hidden="1" ht="29" customHeight="1">
      <c r="A22" s="35" t="n">
        <v>14</v>
      </c>
      <c r="B22" s="40" t="inlineStr">
        <is>
          <t>M-DC-OF-SM-144D</t>
        </is>
      </c>
      <c r="C22" s="36" t="inlineStr">
        <is>
          <t>Pengadaan dan pemasangan kabel duct fiber optik single mode 144 core g 652 d</t>
        </is>
      </c>
      <c r="D22" s="35" t="inlineStr">
        <is>
          <t>meter</t>
        </is>
      </c>
      <c r="E22" s="37" t="n">
        <v>48216</v>
      </c>
      <c r="F22" s="42" t="n">
        <v>0</v>
      </c>
      <c r="G22" s="68" t="n"/>
      <c r="H22" s="68">
        <f>E22*G22</f>
        <v/>
      </c>
      <c r="I22" s="68">
        <f>F22*G22</f>
        <v/>
      </c>
      <c r="J22" s="68">
        <f>SUM(H22:I22)</f>
        <v/>
      </c>
      <c r="K22" s="43" t="n"/>
    </row>
    <row r="23" hidden="1" ht="29" customHeight="1">
      <c r="A23" s="35" t="n">
        <v>15</v>
      </c>
      <c r="B23" s="40" t="inlineStr">
        <is>
          <t>J-DC-OF-SM-144D</t>
        </is>
      </c>
      <c r="C23" s="36" t="inlineStr">
        <is>
          <t>Pengadaan dan pemasangan kabel duct fiber optik single mode 144 core g 652 d</t>
        </is>
      </c>
      <c r="D23" s="35" t="inlineStr">
        <is>
          <t>meter</t>
        </is>
      </c>
      <c r="E23" s="42" t="n">
        <v>0</v>
      </c>
      <c r="F23" s="37" t="n">
        <v>4228</v>
      </c>
      <c r="G23" s="68" t="n"/>
      <c r="H23" s="68">
        <f>E23*G23</f>
        <v/>
      </c>
      <c r="I23" s="68">
        <f>F23*G23</f>
        <v/>
      </c>
      <c r="J23" s="68">
        <f>SUM(H23:I23)</f>
        <v/>
      </c>
      <c r="K23" s="43" t="n"/>
    </row>
    <row r="24" hidden="1" ht="29" customHeight="1">
      <c r="A24" s="35" t="n">
        <v>16</v>
      </c>
      <c r="B24" s="35" t="inlineStr">
        <is>
          <t>DC-OF-SM-288D</t>
        </is>
      </c>
      <c r="C24" s="36" t="inlineStr">
        <is>
          <t>Pengadaan dan pemasangan kabel duct fiber optik single mode 288 core g 652 d</t>
        </is>
      </c>
      <c r="D24" s="35" t="inlineStr">
        <is>
          <t>meter</t>
        </is>
      </c>
      <c r="E24" s="37" t="n">
        <v>87357</v>
      </c>
      <c r="F24" s="37" t="n">
        <v>4221</v>
      </c>
      <c r="G24" s="68" t="n"/>
      <c r="H24" s="68">
        <f>E24*G24</f>
        <v/>
      </c>
      <c r="I24" s="68">
        <f>F24*G24</f>
        <v/>
      </c>
      <c r="J24" s="68">
        <f>SUM(H24:I24)</f>
        <v/>
      </c>
      <c r="K24" s="43" t="n"/>
    </row>
    <row r="25" hidden="1" ht="29" customHeight="1">
      <c r="A25" s="35" t="n">
        <v>17</v>
      </c>
      <c r="B25" s="40" t="inlineStr">
        <is>
          <t>M-DC-OF-SM-288D</t>
        </is>
      </c>
      <c r="C25" s="36" t="inlineStr">
        <is>
          <t>Pengadaan dan pemasangan kabel duct fiber optik single mode 288 core g 652 d</t>
        </is>
      </c>
      <c r="D25" s="35" t="inlineStr">
        <is>
          <t>meter</t>
        </is>
      </c>
      <c r="E25" s="37" t="n">
        <v>87357</v>
      </c>
      <c r="F25" s="42" t="n">
        <v>0</v>
      </c>
      <c r="G25" s="68" t="n"/>
      <c r="H25" s="68">
        <f>E25*G25</f>
        <v/>
      </c>
      <c r="I25" s="68">
        <f>F25*G25</f>
        <v/>
      </c>
      <c r="J25" s="68">
        <f>SUM(H25:I25)</f>
        <v/>
      </c>
      <c r="K25" s="43" t="n"/>
    </row>
    <row r="26" hidden="1" ht="29" customHeight="1">
      <c r="A26" s="35" t="n">
        <v>18</v>
      </c>
      <c r="B26" s="40" t="inlineStr">
        <is>
          <t>J-DC-OF-SM-288D</t>
        </is>
      </c>
      <c r="C26" s="36" t="inlineStr">
        <is>
          <t>Pengadaan dan pemasangan kabel duct fiber optik single mode 288 core g 652 d</t>
        </is>
      </c>
      <c r="D26" s="35" t="inlineStr">
        <is>
          <t>meter</t>
        </is>
      </c>
      <c r="E26" s="42" t="n">
        <v>0</v>
      </c>
      <c r="F26" s="37" t="n">
        <v>4221</v>
      </c>
      <c r="G26" s="68" t="n"/>
      <c r="H26" s="68">
        <f>E26*G26</f>
        <v/>
      </c>
      <c r="I26" s="68">
        <f>F26*G26</f>
        <v/>
      </c>
      <c r="J26" s="68">
        <f>SUM(H26:I26)</f>
        <v/>
      </c>
      <c r="K26" s="43" t="n"/>
    </row>
    <row r="27" hidden="1" ht="29" customHeight="1">
      <c r="A27" s="35" t="n">
        <v>19</v>
      </c>
      <c r="B27" s="35" t="inlineStr">
        <is>
          <t>AC-OF-SM-12D</t>
        </is>
      </c>
      <c r="C27" s="36" t="inlineStr">
        <is>
          <t>Pengadaan dan pemasangan kabel udara fiber optik single mode 12 core g 652 d</t>
        </is>
      </c>
      <c r="D27" s="35" t="inlineStr">
        <is>
          <t>meter</t>
        </is>
      </c>
      <c r="E27" s="37" t="n">
        <v>13841</v>
      </c>
      <c r="F27" s="37" t="n">
        <v>4841</v>
      </c>
      <c r="G27" s="68" t="n"/>
      <c r="H27" s="68">
        <f>E27*G27</f>
        <v/>
      </c>
      <c r="I27" s="68">
        <f>F27*G27</f>
        <v/>
      </c>
      <c r="J27" s="68">
        <f>SUM(H27:I27)</f>
        <v/>
      </c>
      <c r="K27" s="39" t="n"/>
    </row>
    <row r="28" hidden="1" ht="29" customHeight="1">
      <c r="A28" s="35" t="n">
        <v>20</v>
      </c>
      <c r="B28" s="40" t="inlineStr">
        <is>
          <t>M-AC-OF-SM-12D</t>
        </is>
      </c>
      <c r="C28" s="36" t="inlineStr">
        <is>
          <t>Pengadaan dan pemasangan kabel udara fiber optik single mode 12 core g 652 d</t>
        </is>
      </c>
      <c r="D28" s="35" t="inlineStr">
        <is>
          <t>meter</t>
        </is>
      </c>
      <c r="E28" s="37" t="n">
        <v>13841</v>
      </c>
      <c r="F28" s="42" t="n">
        <v>0</v>
      </c>
      <c r="G28" s="68" t="n"/>
      <c r="H28" s="68">
        <f>E28*G28</f>
        <v/>
      </c>
      <c r="I28" s="68">
        <f>F28*G28</f>
        <v/>
      </c>
      <c r="J28" s="68">
        <f>SUM(H28:I28)</f>
        <v/>
      </c>
      <c r="K28" s="39" t="n"/>
      <c r="L28" s="11" t="n">
        <v>0</v>
      </c>
    </row>
    <row r="29" hidden="1" ht="29" customHeight="1">
      <c r="A29" s="35" t="n">
        <v>21</v>
      </c>
      <c r="B29" s="40" t="inlineStr">
        <is>
          <t>J-AC-OF-SM-12D</t>
        </is>
      </c>
      <c r="C29" s="36" t="inlineStr">
        <is>
          <t>Pengadaan dan pemasangan kabel udara fiber optik single mode 12 core g 652 d</t>
        </is>
      </c>
      <c r="D29" s="35" t="inlineStr">
        <is>
          <t>meter</t>
        </is>
      </c>
      <c r="E29" s="42" t="n">
        <v>0</v>
      </c>
      <c r="F29" s="37" t="n">
        <v>4841</v>
      </c>
      <c r="G29" s="68" t="n"/>
      <c r="H29" s="68">
        <f>E29*G29</f>
        <v/>
      </c>
      <c r="I29" s="68">
        <f>F29*G29</f>
        <v/>
      </c>
      <c r="J29" s="68">
        <f>SUM(H29:I29)</f>
        <v/>
      </c>
      <c r="K29" s="39" t="n"/>
      <c r="L29" s="11" t="n">
        <v>0</v>
      </c>
    </row>
    <row r="30" hidden="1" ht="29" customHeight="1">
      <c r="A30" s="35" t="n">
        <v>22</v>
      </c>
      <c r="B30" s="35" t="inlineStr">
        <is>
          <t>AC-OF-SM-24D</t>
        </is>
      </c>
      <c r="C30" s="36" t="inlineStr">
        <is>
          <t>Pengadaan dan pemasangan kabel udara fiber optik single mode 24 core g 652 d</t>
        </is>
      </c>
      <c r="D30" s="35" t="inlineStr">
        <is>
          <t>meter</t>
        </is>
      </c>
      <c r="E30" s="37" t="n">
        <v>17018</v>
      </c>
      <c r="F30" s="37" t="n">
        <v>4805</v>
      </c>
      <c r="G30" s="68" t="n"/>
      <c r="H30" s="68">
        <f>E30*G30</f>
        <v/>
      </c>
      <c r="I30" s="68">
        <f>F30*G30</f>
        <v/>
      </c>
      <c r="J30" s="68">
        <f>SUM(H30:I30)</f>
        <v/>
      </c>
      <c r="K30" s="43" t="n"/>
    </row>
    <row r="31" hidden="1" ht="29" customHeight="1">
      <c r="A31" s="35" t="n">
        <v>23</v>
      </c>
      <c r="B31" s="40" t="inlineStr">
        <is>
          <t>M-AC-OF-SM-24D</t>
        </is>
      </c>
      <c r="C31" s="36" t="inlineStr">
        <is>
          <t>Pengadaan dan pemasangan kabel udara fiber optik single mode 24 core g 652 d</t>
        </is>
      </c>
      <c r="D31" s="35" t="inlineStr">
        <is>
          <t>meter</t>
        </is>
      </c>
      <c r="E31" s="37" t="n">
        <v>17018</v>
      </c>
      <c r="F31" s="42" t="n">
        <v>0</v>
      </c>
      <c r="G31" s="68" t="n"/>
      <c r="H31" s="68">
        <f>E31*G31</f>
        <v/>
      </c>
      <c r="I31" s="68">
        <f>F31*G31</f>
        <v/>
      </c>
      <c r="J31" s="68">
        <f>SUM(H31:I31)</f>
        <v/>
      </c>
      <c r="K31" s="39" t="n"/>
      <c r="L31" s="11" t="n">
        <v>0</v>
      </c>
    </row>
    <row r="32" hidden="1" ht="29" customHeight="1">
      <c r="A32" s="35" t="n">
        <v>24</v>
      </c>
      <c r="B32" s="40" t="inlineStr">
        <is>
          <t>J-AC-OF-SM-24D</t>
        </is>
      </c>
      <c r="C32" s="36" t="inlineStr">
        <is>
          <t>Pengadaan dan pemasangan kabel udara fiber optik single mode 24 core g 652 d</t>
        </is>
      </c>
      <c r="D32" s="35" t="inlineStr">
        <is>
          <t>meter</t>
        </is>
      </c>
      <c r="E32" s="42" t="n">
        <v>0</v>
      </c>
      <c r="F32" s="37" t="n">
        <v>4805</v>
      </c>
      <c r="G32" s="68" t="n"/>
      <c r="H32" s="68">
        <f>E32*G32</f>
        <v/>
      </c>
      <c r="I32" s="68">
        <f>F32*G32</f>
        <v/>
      </c>
      <c r="J32" s="68">
        <f>SUM(H32:I32)</f>
        <v/>
      </c>
      <c r="K32" s="39" t="n"/>
    </row>
    <row r="33" hidden="1" ht="29" customHeight="1">
      <c r="A33" s="35" t="n">
        <v>25</v>
      </c>
      <c r="B33" s="35" t="inlineStr">
        <is>
          <t>AC-OF-SM-48D</t>
        </is>
      </c>
      <c r="C33" s="36" t="inlineStr">
        <is>
          <t>Pengadaan dan pemasangan kabel udara fiber optik single mode 48 core g 652 d</t>
        </is>
      </c>
      <c r="D33" s="35" t="inlineStr">
        <is>
          <t>meter</t>
        </is>
      </c>
      <c r="E33" s="37" t="n">
        <v>23825</v>
      </c>
      <c r="F33" s="37" t="n">
        <v>4805</v>
      </c>
      <c r="G33" s="68" t="n"/>
      <c r="H33" s="68">
        <f>E33*G33</f>
        <v/>
      </c>
      <c r="I33" s="68">
        <f>F33*G33</f>
        <v/>
      </c>
      <c r="J33" s="68">
        <f>SUM(H33:I33)</f>
        <v/>
      </c>
      <c r="K33" s="39" t="n"/>
    </row>
    <row r="34" hidden="1" ht="29" customHeight="1">
      <c r="A34" s="35" t="n">
        <v>26</v>
      </c>
      <c r="B34" s="40" t="inlineStr">
        <is>
          <t>M-AC-OF-SM-48D</t>
        </is>
      </c>
      <c r="C34" s="36" t="inlineStr">
        <is>
          <t>Pengadaan dan pemasangan kabel udara fiber optik single mode 48 core g 652 d</t>
        </is>
      </c>
      <c r="D34" s="35" t="inlineStr">
        <is>
          <t>meter</t>
        </is>
      </c>
      <c r="E34" s="37" t="n">
        <v>23825</v>
      </c>
      <c r="F34" s="42" t="n">
        <v>0</v>
      </c>
      <c r="G34" s="68" t="n"/>
      <c r="H34" s="68">
        <f>E34*G34</f>
        <v/>
      </c>
      <c r="I34" s="68">
        <f>F34*G34</f>
        <v/>
      </c>
      <c r="J34" s="68">
        <f>SUM(H34:I34)</f>
        <v/>
      </c>
      <c r="K34" s="39" t="n"/>
    </row>
    <row r="35" hidden="1" ht="29" customHeight="1">
      <c r="A35" s="35" t="n">
        <v>27</v>
      </c>
      <c r="B35" s="40" t="inlineStr">
        <is>
          <t>J-AC-OF-SM-48D</t>
        </is>
      </c>
      <c r="C35" s="36" t="inlineStr">
        <is>
          <t>Pengadaan dan pemasangan kabel udara fiber optik single mode 48 core g 652 d</t>
        </is>
      </c>
      <c r="D35" s="35" t="inlineStr">
        <is>
          <t>meter</t>
        </is>
      </c>
      <c r="E35" s="42" t="n">
        <v>0</v>
      </c>
      <c r="F35" s="37" t="n">
        <v>4805</v>
      </c>
      <c r="G35" s="68" t="n"/>
      <c r="H35" s="68">
        <f>E35*G35</f>
        <v/>
      </c>
      <c r="I35" s="68">
        <f>F35*G35</f>
        <v/>
      </c>
      <c r="J35" s="68">
        <f>SUM(H35:I35)</f>
        <v/>
      </c>
      <c r="K35" s="39" t="n"/>
    </row>
    <row r="36" hidden="1" ht="29" customHeight="1">
      <c r="A36" s="35" t="n">
        <v>28</v>
      </c>
      <c r="B36" s="35" t="inlineStr">
        <is>
          <t>AC-OF-SM-96D</t>
        </is>
      </c>
      <c r="C36" s="36" t="inlineStr">
        <is>
          <t>Pengadaan dan pemasangan kabel udara fiber optik single mode 96 core g 652 d</t>
        </is>
      </c>
      <c r="D36" s="35" t="inlineStr">
        <is>
          <t>meter</t>
        </is>
      </c>
      <c r="E36" s="37" t="n">
        <v>36304</v>
      </c>
      <c r="F36" s="37" t="n">
        <v>4805</v>
      </c>
      <c r="G36" s="68" t="n"/>
      <c r="H36" s="68">
        <f>E36*G36</f>
        <v/>
      </c>
      <c r="I36" s="68">
        <f>F36*G36</f>
        <v/>
      </c>
      <c r="J36" s="68">
        <f>SUM(H36:I36)</f>
        <v/>
      </c>
      <c r="K36" s="39" t="n"/>
    </row>
    <row r="37" hidden="1" ht="29" customHeight="1">
      <c r="A37" s="35" t="n">
        <v>29</v>
      </c>
      <c r="B37" s="40" t="inlineStr">
        <is>
          <t>M-AC-OF-SM-96D</t>
        </is>
      </c>
      <c r="C37" s="36" t="inlineStr">
        <is>
          <t>Pengadaan dan pemasangan kabel udara fiber optik single mode 96 core g 652 d</t>
        </is>
      </c>
      <c r="D37" s="35" t="inlineStr">
        <is>
          <t>meter</t>
        </is>
      </c>
      <c r="E37" s="37" t="n">
        <v>36304</v>
      </c>
      <c r="F37" s="42" t="n">
        <v>0</v>
      </c>
      <c r="G37" s="68" t="n"/>
      <c r="H37" s="68">
        <f>E37*G37</f>
        <v/>
      </c>
      <c r="I37" s="68">
        <f>F37*G37</f>
        <v/>
      </c>
      <c r="J37" s="68">
        <f>SUM(H37:I37)</f>
        <v/>
      </c>
      <c r="K37" s="39" t="n"/>
    </row>
    <row r="38" hidden="1" ht="29" customHeight="1">
      <c r="A38" s="35" t="n">
        <v>30</v>
      </c>
      <c r="B38" s="40" t="inlineStr">
        <is>
          <t>J-AC-OF-SM-96D</t>
        </is>
      </c>
      <c r="C38" s="36" t="inlineStr">
        <is>
          <t>Pengadaan dan pemasangan kabel udara fiber optik single mode 96 core g 652 d</t>
        </is>
      </c>
      <c r="D38" s="35" t="inlineStr">
        <is>
          <t>meter</t>
        </is>
      </c>
      <c r="E38" s="42" t="n">
        <v>0</v>
      </c>
      <c r="F38" s="37" t="n">
        <v>4805</v>
      </c>
      <c r="G38" s="68" t="n"/>
      <c r="H38" s="68">
        <f>E38*G38</f>
        <v/>
      </c>
      <c r="I38" s="68">
        <f>F38*G38</f>
        <v/>
      </c>
      <c r="J38" s="68">
        <f>SUM(H38:I38)</f>
        <v/>
      </c>
      <c r="K38" s="39" t="n"/>
      <c r="M38" s="12" t="inlineStr">
        <is>
          <t>FEEDER, PT2/PT3</t>
        </is>
      </c>
    </row>
    <row r="39" hidden="1" ht="29" customHeight="1">
      <c r="A39" s="35" t="n">
        <v>31</v>
      </c>
      <c r="B39" s="35" t="inlineStr">
        <is>
          <t>DC-OF-SM-12C</t>
        </is>
      </c>
      <c r="C39" s="36" t="inlineStr">
        <is>
          <t>Pengadaan dan pemasangan kabel duct fiber optik single mode 12 core g 655 c</t>
        </is>
      </c>
      <c r="D39" s="35" t="inlineStr">
        <is>
          <t>meter</t>
        </is>
      </c>
      <c r="E39" s="37" t="n">
        <v>13160</v>
      </c>
      <c r="F39" s="37" t="n">
        <v>3476</v>
      </c>
      <c r="G39" s="68" t="n"/>
      <c r="H39" s="68">
        <f>E39*G39</f>
        <v/>
      </c>
      <c r="I39" s="68">
        <f>F39*G39</f>
        <v/>
      </c>
      <c r="J39" s="68">
        <f>SUM(H39:I39)</f>
        <v/>
      </c>
      <c r="K39" s="43" t="n"/>
    </row>
    <row r="40" hidden="1" ht="29" customHeight="1">
      <c r="A40" s="35" t="n">
        <v>32</v>
      </c>
      <c r="B40" s="40" t="inlineStr">
        <is>
          <t>M-DC-OF-SM-12C</t>
        </is>
      </c>
      <c r="C40" s="36" t="inlineStr">
        <is>
          <t>Pengadaan dan pemasangan kabel duct fiber optik single mode 12 core g 655 c</t>
        </is>
      </c>
      <c r="D40" s="35" t="inlineStr">
        <is>
          <t>meter</t>
        </is>
      </c>
      <c r="E40" s="37" t="n">
        <v>13160</v>
      </c>
      <c r="F40" s="42" t="n">
        <v>0</v>
      </c>
      <c r="G40" s="68" t="n"/>
      <c r="H40" s="68">
        <f>E40*G40</f>
        <v/>
      </c>
      <c r="I40" s="68">
        <f>F40*G40</f>
        <v/>
      </c>
      <c r="J40" s="68">
        <f>SUM(H40:I40)</f>
        <v/>
      </c>
      <c r="K40" s="43" t="n"/>
    </row>
    <row r="41" hidden="1" ht="29" customHeight="1">
      <c r="A41" s="35" t="n">
        <v>33</v>
      </c>
      <c r="B41" s="40" t="inlineStr">
        <is>
          <t>J-DC-OF-SM-12C</t>
        </is>
      </c>
      <c r="C41" s="36" t="inlineStr">
        <is>
          <t>Pengadaan dan pemasangan kabel duct fiber optik single mode 12 core g 655 c</t>
        </is>
      </c>
      <c r="D41" s="35" t="inlineStr">
        <is>
          <t>meter</t>
        </is>
      </c>
      <c r="E41" s="42" t="n">
        <v>0</v>
      </c>
      <c r="F41" s="37" t="n">
        <v>3476</v>
      </c>
      <c r="G41" s="68" t="n"/>
      <c r="H41" s="68">
        <f>E41*G41</f>
        <v/>
      </c>
      <c r="I41" s="68">
        <f>F41*G41</f>
        <v/>
      </c>
      <c r="J41" s="68">
        <f>SUM(H41:I41)</f>
        <v/>
      </c>
      <c r="K41" s="43" t="n"/>
    </row>
    <row r="42" hidden="1" ht="29" customHeight="1">
      <c r="A42" s="35" t="n">
        <v>34</v>
      </c>
      <c r="B42" s="35" t="inlineStr">
        <is>
          <t>DC-OF-SM-24C</t>
        </is>
      </c>
      <c r="C42" s="36" t="inlineStr">
        <is>
          <t>Pengadaan dan pemasangan kabel duct fiber optik single mode 24 core g 655 c</t>
        </is>
      </c>
      <c r="D42" s="35" t="inlineStr">
        <is>
          <t>meter</t>
        </is>
      </c>
      <c r="E42" s="37" t="n">
        <v>18719</v>
      </c>
      <c r="F42" s="37" t="n">
        <v>3476</v>
      </c>
      <c r="G42" s="68" t="n"/>
      <c r="H42" s="68">
        <f>E42*G42</f>
        <v/>
      </c>
      <c r="I42" s="68">
        <f>F42*G42</f>
        <v/>
      </c>
      <c r="J42" s="68">
        <f>SUM(H42:I42)</f>
        <v/>
      </c>
      <c r="K42" s="43" t="n"/>
    </row>
    <row r="43" hidden="1" ht="29" customHeight="1">
      <c r="A43" s="35" t="n">
        <v>35</v>
      </c>
      <c r="B43" s="40" t="inlineStr">
        <is>
          <t>M-DC-OF-SM-24C</t>
        </is>
      </c>
      <c r="C43" s="36" t="inlineStr">
        <is>
          <t>Pengadaan dan pemasangan kabel duct fiber optik single mode 24 core g 655 c</t>
        </is>
      </c>
      <c r="D43" s="35" t="inlineStr">
        <is>
          <t>meter</t>
        </is>
      </c>
      <c r="E43" s="37" t="n">
        <v>18719</v>
      </c>
      <c r="F43" s="42" t="n">
        <v>0</v>
      </c>
      <c r="G43" s="68" t="n"/>
      <c r="H43" s="68">
        <f>E43*G43</f>
        <v/>
      </c>
      <c r="I43" s="68">
        <f>F43*G43</f>
        <v/>
      </c>
      <c r="J43" s="68">
        <f>SUM(H43:I43)</f>
        <v/>
      </c>
      <c r="K43" s="43" t="n"/>
    </row>
    <row r="44" hidden="1" ht="29" customHeight="1">
      <c r="A44" s="35" t="n">
        <v>36</v>
      </c>
      <c r="B44" s="40" t="inlineStr">
        <is>
          <t>J-DC-OF-SM-24C</t>
        </is>
      </c>
      <c r="C44" s="36" t="inlineStr">
        <is>
          <t>Pengadaan dan pemasangan kabel duct fiber optik single mode 24 core g 655 c</t>
        </is>
      </c>
      <c r="D44" s="35" t="inlineStr">
        <is>
          <t>meter</t>
        </is>
      </c>
      <c r="E44" s="42" t="n">
        <v>0</v>
      </c>
      <c r="F44" s="37" t="n">
        <v>3476</v>
      </c>
      <c r="G44" s="68" t="n"/>
      <c r="H44" s="68">
        <f>E44*G44</f>
        <v/>
      </c>
      <c r="I44" s="68">
        <f>F44*G44</f>
        <v/>
      </c>
      <c r="J44" s="68">
        <f>SUM(H44:I44)</f>
        <v/>
      </c>
      <c r="K44" s="43" t="n"/>
    </row>
    <row r="45" hidden="1" ht="29" customHeight="1">
      <c r="A45" s="35" t="n">
        <v>37</v>
      </c>
      <c r="B45" s="35" t="inlineStr">
        <is>
          <t>DC-OF-SM-48C</t>
        </is>
      </c>
      <c r="C45" s="36" t="inlineStr">
        <is>
          <t>Pengadaan dan pemasangan kabel duct fiber optik single mode 48 core g 655 c</t>
        </is>
      </c>
      <c r="D45" s="35" t="inlineStr">
        <is>
          <t>meter</t>
        </is>
      </c>
      <c r="E45" s="37" t="n">
        <v>29497</v>
      </c>
      <c r="F45" s="37" t="n">
        <v>3476</v>
      </c>
      <c r="G45" s="68" t="n"/>
      <c r="H45" s="68">
        <f>E45*G45</f>
        <v/>
      </c>
      <c r="I45" s="68">
        <f>F45*G45</f>
        <v/>
      </c>
      <c r="J45" s="68">
        <f>SUM(H45:I45)</f>
        <v/>
      </c>
      <c r="K45" s="43" t="n"/>
    </row>
    <row r="46" hidden="1" ht="29" customHeight="1">
      <c r="A46" s="35" t="n">
        <v>38</v>
      </c>
      <c r="B46" s="40" t="inlineStr">
        <is>
          <t>M-DC-OF-SM-48C</t>
        </is>
      </c>
      <c r="C46" s="36" t="inlineStr">
        <is>
          <t>Pengadaan dan pemasangan kabel duct fiber optik single mode 48 core g 655 c</t>
        </is>
      </c>
      <c r="D46" s="35" t="inlineStr">
        <is>
          <t>meter</t>
        </is>
      </c>
      <c r="E46" s="37" t="n">
        <v>29497</v>
      </c>
      <c r="F46" s="42" t="n">
        <v>0</v>
      </c>
      <c r="G46" s="68" t="n"/>
      <c r="H46" s="68">
        <f>E46*G46</f>
        <v/>
      </c>
      <c r="I46" s="68">
        <f>F46*G46</f>
        <v/>
      </c>
      <c r="J46" s="68">
        <f>SUM(H46:I46)</f>
        <v/>
      </c>
      <c r="K46" s="43" t="n"/>
    </row>
    <row r="47" hidden="1" ht="29" customHeight="1">
      <c r="A47" s="35" t="n">
        <v>39</v>
      </c>
      <c r="B47" s="40" t="inlineStr">
        <is>
          <t>J-DC-OF-SM-48C</t>
        </is>
      </c>
      <c r="C47" s="36" t="inlineStr">
        <is>
          <t>Pengadaan dan pemasangan kabel duct fiber optik single mode 48 core g 655 c</t>
        </is>
      </c>
      <c r="D47" s="35" t="inlineStr">
        <is>
          <t>meter</t>
        </is>
      </c>
      <c r="E47" s="42" t="n">
        <v>0</v>
      </c>
      <c r="F47" s="37" t="n">
        <v>3476</v>
      </c>
      <c r="G47" s="68" t="n"/>
      <c r="H47" s="68">
        <f>E47*G47</f>
        <v/>
      </c>
      <c r="I47" s="68">
        <f>F47*G47</f>
        <v/>
      </c>
      <c r="J47" s="68">
        <f>SUM(H47:I47)</f>
        <v/>
      </c>
      <c r="K47" s="43" t="n"/>
    </row>
    <row r="48" hidden="1" ht="29" customHeight="1">
      <c r="A48" s="35" t="n">
        <v>40</v>
      </c>
      <c r="B48" s="35" t="inlineStr">
        <is>
          <t>DC-OF-SM-96C</t>
        </is>
      </c>
      <c r="C48" s="36" t="inlineStr">
        <is>
          <t>Pengadaan dan pemasangan kabel duct fiber optik single mode 96 core g 655 c</t>
        </is>
      </c>
      <c r="D48" s="35" t="inlineStr">
        <is>
          <t>meter</t>
        </is>
      </c>
      <c r="E48" s="37" t="n">
        <v>61263</v>
      </c>
      <c r="F48" s="37" t="n">
        <v>3476</v>
      </c>
      <c r="G48" s="68" t="n"/>
      <c r="H48" s="68">
        <f>E48*G48</f>
        <v/>
      </c>
      <c r="I48" s="68">
        <f>F48*G48</f>
        <v/>
      </c>
      <c r="J48" s="68">
        <f>SUM(H48:I48)</f>
        <v/>
      </c>
      <c r="K48" s="43" t="n"/>
    </row>
    <row r="49" hidden="1" ht="29" customHeight="1">
      <c r="A49" s="35" t="n">
        <v>41</v>
      </c>
      <c r="B49" s="40" t="inlineStr">
        <is>
          <t>M-DC-OF-SM-96C</t>
        </is>
      </c>
      <c r="C49" s="36" t="inlineStr">
        <is>
          <t>Pengadaan dan pemasangan kabel duct fiber optik single mode 96 core g 655 c</t>
        </is>
      </c>
      <c r="D49" s="35" t="inlineStr">
        <is>
          <t>meter</t>
        </is>
      </c>
      <c r="E49" s="37" t="n">
        <v>61263</v>
      </c>
      <c r="F49" s="42" t="n">
        <v>0</v>
      </c>
      <c r="G49" s="68" t="n"/>
      <c r="H49" s="68">
        <f>E49*G49</f>
        <v/>
      </c>
      <c r="I49" s="68">
        <f>F49*G49</f>
        <v/>
      </c>
      <c r="J49" s="68">
        <f>SUM(H49:I49)</f>
        <v/>
      </c>
      <c r="K49" s="43" t="n"/>
    </row>
    <row r="50" hidden="1" ht="29" customHeight="1">
      <c r="A50" s="35" t="n">
        <v>42</v>
      </c>
      <c r="B50" s="40" t="inlineStr">
        <is>
          <t>J-DC-OF-SM-96C</t>
        </is>
      </c>
      <c r="C50" s="36" t="inlineStr">
        <is>
          <t>Pengadaan dan pemasangan kabel duct fiber optik single mode 96 core g 655 c</t>
        </is>
      </c>
      <c r="D50" s="35" t="inlineStr">
        <is>
          <t>meter</t>
        </is>
      </c>
      <c r="E50" s="42" t="n">
        <v>0</v>
      </c>
      <c r="F50" s="37" t="n">
        <v>3476</v>
      </c>
      <c r="G50" s="68" t="n"/>
      <c r="H50" s="68">
        <f>E50*G50</f>
        <v/>
      </c>
      <c r="I50" s="68">
        <f>F50*G50</f>
        <v/>
      </c>
      <c r="J50" s="68">
        <f>SUM(H50:I50)</f>
        <v/>
      </c>
      <c r="K50" s="43" t="n"/>
    </row>
    <row r="51" hidden="1" ht="29" customHeight="1">
      <c r="A51" s="35" t="n">
        <v>43</v>
      </c>
      <c r="B51" s="35" t="inlineStr">
        <is>
          <t>AC-OF-SM-12C</t>
        </is>
      </c>
      <c r="C51" s="36" t="inlineStr">
        <is>
          <t>Pengadaan dan pemasangan kabel udara fiber optik single mode 12 core g 655 c</t>
        </is>
      </c>
      <c r="D51" s="35" t="inlineStr">
        <is>
          <t>meter</t>
        </is>
      </c>
      <c r="E51" s="37" t="n">
        <v>18081</v>
      </c>
      <c r="F51" s="37" t="n">
        <v>4805</v>
      </c>
      <c r="G51" s="68" t="n"/>
      <c r="H51" s="68">
        <f>E51*G51</f>
        <v/>
      </c>
      <c r="I51" s="68">
        <f>F51*G51</f>
        <v/>
      </c>
      <c r="J51" s="68">
        <f>SUM(H51:I51)</f>
        <v/>
      </c>
      <c r="K51" s="43" t="n"/>
    </row>
    <row r="52" hidden="1" ht="29" customHeight="1">
      <c r="A52" s="35" t="n">
        <v>44</v>
      </c>
      <c r="B52" s="40" t="inlineStr">
        <is>
          <t>M-AC-OF-SM-12C</t>
        </is>
      </c>
      <c r="C52" s="36" t="inlineStr">
        <is>
          <t>Pengadaan dan pemasangan kabel udara fiber optik single mode 12 core g 655 c</t>
        </is>
      </c>
      <c r="D52" s="35" t="inlineStr">
        <is>
          <t>meter</t>
        </is>
      </c>
      <c r="E52" s="37" t="n">
        <v>18081</v>
      </c>
      <c r="F52" s="42" t="n">
        <v>0</v>
      </c>
      <c r="G52" s="68" t="n"/>
      <c r="H52" s="68">
        <f>E52*G52</f>
        <v/>
      </c>
      <c r="I52" s="68">
        <f>F52*G52</f>
        <v/>
      </c>
      <c r="J52" s="68">
        <f>SUM(H52:I52)</f>
        <v/>
      </c>
      <c r="K52" s="43" t="n"/>
    </row>
    <row r="53" hidden="1" ht="29" customHeight="1">
      <c r="A53" s="35" t="n">
        <v>45</v>
      </c>
      <c r="B53" s="40" t="inlineStr">
        <is>
          <t>J-AC-OF-SM-12C</t>
        </is>
      </c>
      <c r="C53" s="36" t="inlineStr">
        <is>
          <t>Pengadaan dan pemasangan kabel udara fiber optik single mode 12 core g 655 c</t>
        </is>
      </c>
      <c r="D53" s="35" t="inlineStr">
        <is>
          <t>meter</t>
        </is>
      </c>
      <c r="E53" s="42" t="n">
        <v>0</v>
      </c>
      <c r="F53" s="37" t="n">
        <v>4805</v>
      </c>
      <c r="G53" s="68" t="n"/>
      <c r="H53" s="68">
        <f>E53*G53</f>
        <v/>
      </c>
      <c r="I53" s="68">
        <f>F53*G53</f>
        <v/>
      </c>
      <c r="J53" s="68">
        <f>SUM(H53:I53)</f>
        <v/>
      </c>
      <c r="K53" s="43" t="n"/>
    </row>
    <row r="54" hidden="1" ht="29" customHeight="1">
      <c r="A54" s="35" t="n">
        <v>46</v>
      </c>
      <c r="B54" s="35" t="inlineStr">
        <is>
          <t>AC-OF-SM-24C</t>
        </is>
      </c>
      <c r="C54" s="36" t="inlineStr">
        <is>
          <t>Pengadaan dan pemasangan kabel udara fiber optik single mode 24 core g 655 c</t>
        </is>
      </c>
      <c r="D54" s="35" t="inlineStr">
        <is>
          <t>meter</t>
        </is>
      </c>
      <c r="E54" s="37" t="n">
        <v>23938</v>
      </c>
      <c r="F54" s="37" t="n">
        <v>4805</v>
      </c>
      <c r="G54" s="68" t="n"/>
      <c r="H54" s="68">
        <f>E54*G54</f>
        <v/>
      </c>
      <c r="I54" s="68">
        <f>F54*G54</f>
        <v/>
      </c>
      <c r="J54" s="68">
        <f>SUM(H54:I54)</f>
        <v/>
      </c>
      <c r="K54" s="43" t="n"/>
    </row>
    <row r="55" hidden="1" ht="29" customHeight="1">
      <c r="A55" s="35" t="n">
        <v>47</v>
      </c>
      <c r="B55" s="40" t="inlineStr">
        <is>
          <t>M-AC-OF-SM-24C</t>
        </is>
      </c>
      <c r="C55" s="36" t="inlineStr">
        <is>
          <t>Pengadaan dan pemasangan kabel udara fiber optik single mode 24 core g 655 c</t>
        </is>
      </c>
      <c r="D55" s="35" t="inlineStr">
        <is>
          <t>meter</t>
        </is>
      </c>
      <c r="E55" s="37" t="n">
        <v>23938</v>
      </c>
      <c r="F55" s="42" t="n">
        <v>0</v>
      </c>
      <c r="G55" s="68" t="n"/>
      <c r="H55" s="68">
        <f>E55*G55</f>
        <v/>
      </c>
      <c r="I55" s="68">
        <f>F55*G55</f>
        <v/>
      </c>
      <c r="J55" s="68">
        <f>SUM(H55:I55)</f>
        <v/>
      </c>
      <c r="K55" s="43" t="n"/>
    </row>
    <row r="56" hidden="1" ht="29" customHeight="1">
      <c r="A56" s="35" t="n">
        <v>48</v>
      </c>
      <c r="B56" s="40" t="inlineStr">
        <is>
          <t>J-AC-OF-SM-24C</t>
        </is>
      </c>
      <c r="C56" s="36" t="inlineStr">
        <is>
          <t>Pengadaan dan pemasangan kabel udara fiber optik single mode 24 core g 655 c</t>
        </is>
      </c>
      <c r="D56" s="35" t="inlineStr">
        <is>
          <t>meter</t>
        </is>
      </c>
      <c r="E56" s="42" t="n">
        <v>0</v>
      </c>
      <c r="F56" s="37" t="n">
        <v>4805</v>
      </c>
      <c r="G56" s="68" t="n"/>
      <c r="H56" s="68">
        <f>E56*G56</f>
        <v/>
      </c>
      <c r="I56" s="68">
        <f>F56*G56</f>
        <v/>
      </c>
      <c r="J56" s="68">
        <f>SUM(H56:I56)</f>
        <v/>
      </c>
      <c r="K56" s="39" t="n"/>
    </row>
    <row r="57" hidden="1" ht="29" customHeight="1">
      <c r="A57" s="35" t="n">
        <v>49</v>
      </c>
      <c r="B57" s="35" t="inlineStr">
        <is>
          <t>AC-OF-SM-48C</t>
        </is>
      </c>
      <c r="C57" s="36" t="inlineStr">
        <is>
          <t>Pengadaan dan pemasangan kabel udara fiber optik single mode 48 core g 655 c</t>
        </is>
      </c>
      <c r="D57" s="35" t="inlineStr">
        <is>
          <t>meter</t>
        </is>
      </c>
      <c r="E57" s="37" t="n">
        <v>37439</v>
      </c>
      <c r="F57" s="37" t="n">
        <v>4805</v>
      </c>
      <c r="G57" s="68" t="n"/>
      <c r="H57" s="68">
        <f>E57*G57</f>
        <v/>
      </c>
      <c r="I57" s="68">
        <f>F57*G57</f>
        <v/>
      </c>
      <c r="J57" s="68">
        <f>SUM(H57:I57)</f>
        <v/>
      </c>
      <c r="K57" s="39" t="n"/>
    </row>
    <row r="58" hidden="1" ht="29" customHeight="1">
      <c r="A58" s="35" t="n">
        <v>50</v>
      </c>
      <c r="B58" s="40" t="inlineStr">
        <is>
          <t>M-AC-OF-SM-48C</t>
        </is>
      </c>
      <c r="C58" s="36" t="inlineStr">
        <is>
          <t>Pengadaan dan pemasangan kabel udara fiber optik single mode 48 core g 655 c</t>
        </is>
      </c>
      <c r="D58" s="35" t="inlineStr">
        <is>
          <t>meter</t>
        </is>
      </c>
      <c r="E58" s="37" t="n">
        <v>37439</v>
      </c>
      <c r="F58" s="42" t="n">
        <v>0</v>
      </c>
      <c r="G58" s="68" t="n"/>
      <c r="H58" s="68">
        <f>E58*G58</f>
        <v/>
      </c>
      <c r="I58" s="68">
        <f>F58*G58</f>
        <v/>
      </c>
      <c r="J58" s="68">
        <f>SUM(H58:I58)</f>
        <v/>
      </c>
      <c r="K58" s="43" t="n"/>
    </row>
    <row r="59" hidden="1" ht="29" customFormat="1" customHeight="1" s="1">
      <c r="A59" s="35" t="n">
        <v>51</v>
      </c>
      <c r="B59" s="40" t="inlineStr">
        <is>
          <t>J-AC-OF-SM-48C</t>
        </is>
      </c>
      <c r="C59" s="36" t="inlineStr">
        <is>
          <t>Pengadaan dan pemasangan kabel udara fiber optik single mode 48 core g 655 c</t>
        </is>
      </c>
      <c r="D59" s="35" t="inlineStr">
        <is>
          <t>meter</t>
        </is>
      </c>
      <c r="E59" s="42" t="n">
        <v>0</v>
      </c>
      <c r="F59" s="37" t="n">
        <v>4805</v>
      </c>
      <c r="G59" s="68" t="n"/>
      <c r="H59" s="68">
        <f>E59*G59</f>
        <v/>
      </c>
      <c r="I59" s="68">
        <f>F59*G59</f>
        <v/>
      </c>
      <c r="J59" s="68">
        <f>SUM(H59:I59)</f>
        <v/>
      </c>
      <c r="K59" s="44" t="n"/>
      <c r="L59" s="11" t="n"/>
      <c r="M59" s="12" t="n"/>
      <c r="N59" s="12" t="n"/>
      <c r="O59" s="12" t="n"/>
      <c r="P59" s="12" t="n"/>
      <c r="Q59" s="12" t="n"/>
      <c r="R59" s="12" t="n"/>
      <c r="S59" s="12" t="n"/>
      <c r="T59" s="12" t="n"/>
      <c r="U59" s="12" t="n"/>
      <c r="V59" s="12" t="n"/>
      <c r="W59" s="12" t="n"/>
      <c r="X59" s="12" t="n"/>
    </row>
    <row r="60" hidden="1" ht="29" customHeight="1">
      <c r="A60" s="35" t="n">
        <v>52</v>
      </c>
      <c r="B60" s="35" t="inlineStr">
        <is>
          <t>AC-OF-SM-96C</t>
        </is>
      </c>
      <c r="C60" s="36" t="inlineStr">
        <is>
          <t>Pengadaan dan pemasangan kabel udara fiber optik single mode 96 core g 655 c</t>
        </is>
      </c>
      <c r="D60" s="35" t="inlineStr">
        <is>
          <t>meter</t>
        </is>
      </c>
      <c r="E60" s="37" t="n">
        <v>64667</v>
      </c>
      <c r="F60" s="37" t="n">
        <v>4805</v>
      </c>
      <c r="G60" s="68" t="n"/>
      <c r="H60" s="68">
        <f>E60*G60</f>
        <v/>
      </c>
      <c r="I60" s="68">
        <f>F60*G60</f>
        <v/>
      </c>
      <c r="J60" s="68">
        <f>SUM(H60:I60)</f>
        <v/>
      </c>
      <c r="K60" s="39" t="n"/>
    </row>
    <row r="61" hidden="1" ht="29" customHeight="1">
      <c r="A61" s="35" t="n">
        <v>53</v>
      </c>
      <c r="B61" s="40" t="inlineStr">
        <is>
          <t>M-AC-OF-SM-96C</t>
        </is>
      </c>
      <c r="C61" s="36" t="inlineStr">
        <is>
          <t>Pengadaan dan pemasangan kabel udara fiber optik single mode 96 core g 655 c</t>
        </is>
      </c>
      <c r="D61" s="35" t="inlineStr">
        <is>
          <t>meter</t>
        </is>
      </c>
      <c r="E61" s="37" t="n">
        <v>64667</v>
      </c>
      <c r="F61" s="42" t="n">
        <v>0</v>
      </c>
      <c r="G61" s="68" t="n"/>
      <c r="H61" s="68">
        <f>E61*G61</f>
        <v/>
      </c>
      <c r="I61" s="68">
        <f>F61*G61</f>
        <v/>
      </c>
      <c r="J61" s="68">
        <f>SUM(H61:I61)</f>
        <v/>
      </c>
      <c r="K61" s="39" t="n"/>
    </row>
    <row r="62" hidden="1" ht="29" customHeight="1">
      <c r="A62" s="35" t="n">
        <v>54</v>
      </c>
      <c r="B62" s="40" t="inlineStr">
        <is>
          <t>J-AC-OF-SM-96C</t>
        </is>
      </c>
      <c r="C62" s="36" t="inlineStr">
        <is>
          <t>Pengadaan dan pemasangan kabel udara fiber optik single mode 96 core g 655 c</t>
        </is>
      </c>
      <c r="D62" s="35" t="inlineStr">
        <is>
          <t>meter</t>
        </is>
      </c>
      <c r="E62" s="42" t="n">
        <v>0</v>
      </c>
      <c r="F62" s="37" t="n">
        <v>4805</v>
      </c>
      <c r="G62" s="68" t="n"/>
      <c r="H62" s="68">
        <f>E62*G62</f>
        <v/>
      </c>
      <c r="I62" s="68">
        <f>F62*G62</f>
        <v/>
      </c>
      <c r="J62" s="68">
        <f>SUM(H62:I62)</f>
        <v/>
      </c>
      <c r="K62" s="39" t="n"/>
    </row>
    <row r="63" hidden="1" ht="29" customHeight="1">
      <c r="A63" s="35" t="n">
        <v>55</v>
      </c>
      <c r="B63" s="35" t="inlineStr">
        <is>
          <t>DC-OF-SM-12-SC</t>
        </is>
      </c>
      <c r="C63" s="36" t="inlineStr">
        <is>
          <t>Pengadaan dan pemasangan kabel duct fiber optik single mode 12 core g 652 d, "easy to split"</t>
        </is>
      </c>
      <c r="D63" s="35" t="inlineStr">
        <is>
          <t>meter</t>
        </is>
      </c>
      <c r="E63" s="37" t="n">
        <v>13927</v>
      </c>
      <c r="F63" s="37" t="n">
        <v>3476</v>
      </c>
      <c r="G63" s="68" t="n"/>
      <c r="H63" s="68">
        <f>E63*G63</f>
        <v/>
      </c>
      <c r="I63" s="68">
        <f>F63*G63</f>
        <v/>
      </c>
      <c r="J63" s="68">
        <f>SUM(H63:I63)</f>
        <v/>
      </c>
      <c r="K63" s="39" t="n"/>
    </row>
    <row r="64" hidden="1" ht="29" customHeight="1">
      <c r="A64" s="35" t="n">
        <v>56</v>
      </c>
      <c r="B64" s="40" t="inlineStr">
        <is>
          <t>M-DC-OF-SM-12-SC</t>
        </is>
      </c>
      <c r="C64" s="36" t="inlineStr">
        <is>
          <t>Pengadaan dan pemasangan kabel duct fiber optik single mode 12 core g 652 d, "easy to split"</t>
        </is>
      </c>
      <c r="D64" s="35" t="inlineStr">
        <is>
          <t>meter</t>
        </is>
      </c>
      <c r="E64" s="37" t="n">
        <v>13927</v>
      </c>
      <c r="F64" s="42" t="n">
        <v>0</v>
      </c>
      <c r="G64" s="68" t="n"/>
      <c r="H64" s="68">
        <f>E64*G64</f>
        <v/>
      </c>
      <c r="I64" s="68">
        <f>F64*G64</f>
        <v/>
      </c>
      <c r="J64" s="68">
        <f>SUM(H64:I64)</f>
        <v/>
      </c>
      <c r="K64" s="39" t="n"/>
    </row>
    <row r="65" hidden="1" ht="29" customHeight="1">
      <c r="A65" s="35" t="n">
        <v>57</v>
      </c>
      <c r="B65" s="40" t="inlineStr">
        <is>
          <t>J-DC-OF-SM-12-SC</t>
        </is>
      </c>
      <c r="C65" s="36" t="inlineStr">
        <is>
          <t>Pengadaan dan pemasangan kabel duct fiber optik single mode 12 core g 652 d, "easy to split"</t>
        </is>
      </c>
      <c r="D65" s="35" t="inlineStr">
        <is>
          <t>meter</t>
        </is>
      </c>
      <c r="E65" s="42" t="n">
        <v>0</v>
      </c>
      <c r="F65" s="37" t="n">
        <v>3476</v>
      </c>
      <c r="G65" s="68" t="n"/>
      <c r="H65" s="68">
        <f>E65*G65</f>
        <v/>
      </c>
      <c r="I65" s="68">
        <f>F65*G65</f>
        <v/>
      </c>
      <c r="J65" s="68">
        <f>SUM(H65:I65)</f>
        <v/>
      </c>
      <c r="K65" s="39" t="n"/>
    </row>
    <row r="66" hidden="1" ht="29" customHeight="1">
      <c r="A66" s="35" t="n">
        <v>58</v>
      </c>
      <c r="B66" s="35" t="inlineStr">
        <is>
          <t>DC-OF-SM-24-SC</t>
        </is>
      </c>
      <c r="C66" s="36" t="inlineStr">
        <is>
          <t>Pengadaan dan pemasangan kabel duct fiber optik single mode 24 core g 652 d, "easy to split"</t>
        </is>
      </c>
      <c r="D66" s="35" t="inlineStr">
        <is>
          <t>meter</t>
        </is>
      </c>
      <c r="E66" s="37" t="n">
        <v>17871</v>
      </c>
      <c r="F66" s="37" t="n">
        <v>3476</v>
      </c>
      <c r="G66" s="68" t="n"/>
      <c r="H66" s="68">
        <f>E66*G66</f>
        <v/>
      </c>
      <c r="I66" s="68">
        <f>F66*G66</f>
        <v/>
      </c>
      <c r="J66" s="68">
        <f>SUM(H66:I66)</f>
        <v/>
      </c>
      <c r="K66" s="39" t="n"/>
    </row>
    <row r="67" hidden="1" ht="29" customFormat="1" customHeight="1" s="1">
      <c r="A67" s="35" t="n">
        <v>59</v>
      </c>
      <c r="B67" s="40" t="inlineStr">
        <is>
          <t>M-DC-OF-SM-24-SC</t>
        </is>
      </c>
      <c r="C67" s="36" t="inlineStr">
        <is>
          <t>Pengadaan dan pemasangan kabel duct fiber optik single mode 24 core g 652 d, "easy to split"</t>
        </is>
      </c>
      <c r="D67" s="35" t="inlineStr">
        <is>
          <t>meter</t>
        </is>
      </c>
      <c r="E67" s="37" t="n">
        <v>17871</v>
      </c>
      <c r="F67" s="42" t="n">
        <v>0</v>
      </c>
      <c r="G67" s="68" t="n"/>
      <c r="H67" s="68">
        <f>E67*G67</f>
        <v/>
      </c>
      <c r="I67" s="68">
        <f>F67*G67</f>
        <v/>
      </c>
      <c r="J67" s="68">
        <f>SUM(H67:I67)</f>
        <v/>
      </c>
      <c r="K67" s="39" t="n"/>
      <c r="L67" s="11" t="n"/>
      <c r="M67" s="12" t="n"/>
      <c r="N67" s="12" t="n"/>
      <c r="O67" s="12" t="n"/>
      <c r="P67" s="12" t="n"/>
      <c r="Q67" s="12" t="n"/>
      <c r="R67" s="12" t="n"/>
      <c r="S67" s="12" t="n"/>
      <c r="T67" s="12" t="n"/>
      <c r="U67" s="12" t="n"/>
      <c r="V67" s="12" t="n"/>
      <c r="W67" s="12" t="n"/>
      <c r="X67" s="12" t="n"/>
    </row>
    <row r="68" hidden="1" ht="29" customFormat="1" customHeight="1" s="1">
      <c r="A68" s="35" t="n">
        <v>60</v>
      </c>
      <c r="B68" s="40" t="inlineStr">
        <is>
          <t>J-DC-OF-SM-24-SC</t>
        </is>
      </c>
      <c r="C68" s="36" t="inlineStr">
        <is>
          <t>Pengadaan dan pemasangan kabel duct fiber optik single mode 24 core g 652 d, "easy to split"</t>
        </is>
      </c>
      <c r="D68" s="35" t="inlineStr">
        <is>
          <t>meter</t>
        </is>
      </c>
      <c r="E68" s="42" t="n">
        <v>0</v>
      </c>
      <c r="F68" s="37" t="n">
        <v>3476</v>
      </c>
      <c r="G68" s="68" t="n"/>
      <c r="H68" s="68">
        <f>E68*G68</f>
        <v/>
      </c>
      <c r="I68" s="68">
        <f>F68*G68</f>
        <v/>
      </c>
      <c r="J68" s="68">
        <f>SUM(H68:I68)</f>
        <v/>
      </c>
      <c r="K68" s="39" t="n"/>
      <c r="L68" s="11" t="n"/>
      <c r="M68" s="12" t="n"/>
      <c r="N68" s="12" t="n"/>
      <c r="O68" s="12" t="n"/>
      <c r="P68" s="12" t="n"/>
      <c r="Q68" s="12" t="n"/>
      <c r="R68" s="12" t="n"/>
      <c r="S68" s="12" t="n"/>
      <c r="T68" s="12" t="n"/>
      <c r="U68" s="12" t="n"/>
      <c r="V68" s="12" t="n"/>
      <c r="W68" s="12" t="n"/>
      <c r="X68" s="12" t="n"/>
    </row>
    <row r="69" hidden="1" ht="29" customHeight="1">
      <c r="A69" s="35" t="n">
        <v>61</v>
      </c>
      <c r="B69" s="35" t="inlineStr">
        <is>
          <t>AC-OF-SM-12-SC</t>
        </is>
      </c>
      <c r="C69" s="36" t="inlineStr">
        <is>
          <t>Pengadaan dan pemasangan kabel udara fiber optik single mode 12 core g 652 d, "easy to split"</t>
        </is>
      </c>
      <c r="D69" s="35" t="inlineStr">
        <is>
          <t>meter</t>
        </is>
      </c>
      <c r="E69" s="37" t="n">
        <v>6233</v>
      </c>
      <c r="F69" s="37" t="n">
        <v>4242</v>
      </c>
      <c r="G69" s="68" t="n"/>
      <c r="H69" s="68">
        <f>E69*G69</f>
        <v/>
      </c>
      <c r="I69" s="68">
        <f>F69*G69</f>
        <v/>
      </c>
      <c r="J69" s="68">
        <f>SUM(H69:I69)</f>
        <v/>
      </c>
      <c r="K69" s="39" t="n"/>
    </row>
    <row r="70" hidden="1" ht="29" customHeight="1">
      <c r="A70" s="35" t="n">
        <v>62</v>
      </c>
      <c r="B70" s="40" t="inlineStr">
        <is>
          <t>M-AC-OF-SM-12-SC</t>
        </is>
      </c>
      <c r="C70" s="36" t="inlineStr">
        <is>
          <t>Pengadaan dan pemasangan kabel udara fiber optik single mode 12 core g 652 d, "easy to split"</t>
        </is>
      </c>
      <c r="D70" s="35" t="inlineStr">
        <is>
          <t>meter</t>
        </is>
      </c>
      <c r="E70" s="37" t="n">
        <v>6233</v>
      </c>
      <c r="F70" s="42" t="n">
        <v>0</v>
      </c>
      <c r="G70" s="68" t="n"/>
      <c r="H70" s="68">
        <f>E70*G70</f>
        <v/>
      </c>
      <c r="I70" s="68">
        <f>F70*G70</f>
        <v/>
      </c>
      <c r="J70" s="68">
        <f>SUM(H70:I70)</f>
        <v/>
      </c>
      <c r="K70" s="39" t="n"/>
    </row>
    <row r="71" hidden="1" ht="29" customHeight="1">
      <c r="A71" s="35" t="n">
        <v>63</v>
      </c>
      <c r="B71" s="40" t="inlineStr">
        <is>
          <t>J-AC-OF-SM-12-SC</t>
        </is>
      </c>
      <c r="C71" s="36" t="inlineStr">
        <is>
          <t>Pengadaan dan pemasangan kabel udara fiber optik single mode 12 core g 652 d, "easy to split"</t>
        </is>
      </c>
      <c r="D71" s="35" t="inlineStr">
        <is>
          <t>meter</t>
        </is>
      </c>
      <c r="E71" s="42" t="n">
        <v>0</v>
      </c>
      <c r="F71" s="37" t="n">
        <v>4242</v>
      </c>
      <c r="G71" s="68" t="n"/>
      <c r="H71" s="68">
        <f>E71*G71</f>
        <v/>
      </c>
      <c r="I71" s="68">
        <f>F71*G71</f>
        <v/>
      </c>
      <c r="J71" s="68">
        <f>SUM(H71:I71)</f>
        <v/>
      </c>
      <c r="K71" s="39" t="n"/>
    </row>
    <row r="72" hidden="1" ht="29" customHeight="1">
      <c r="A72" s="35" t="n">
        <v>64</v>
      </c>
      <c r="B72" s="35" t="inlineStr">
        <is>
          <t>AC-OF-SM-24-SC</t>
        </is>
      </c>
      <c r="C72" s="36" t="inlineStr">
        <is>
          <t>Pengadaan dan pemasangan kabel udara fiber optik single mode 24 core g 652 d, "easy to split"</t>
        </is>
      </c>
      <c r="D72" s="35" t="inlineStr">
        <is>
          <t>meter</t>
        </is>
      </c>
      <c r="E72" s="37" t="n">
        <v>7482</v>
      </c>
      <c r="F72" s="37" t="n">
        <v>4242</v>
      </c>
      <c r="G72" s="68" t="n"/>
      <c r="H72" s="68">
        <f>E72*G72</f>
        <v/>
      </c>
      <c r="I72" s="68">
        <f>F72*G72</f>
        <v/>
      </c>
      <c r="J72" s="68">
        <f>SUM(H72:I72)</f>
        <v/>
      </c>
      <c r="K72" s="39" t="n"/>
    </row>
    <row r="73" hidden="1" ht="29" customHeight="1">
      <c r="A73" s="35" t="n">
        <v>65</v>
      </c>
      <c r="B73" s="40" t="inlineStr">
        <is>
          <t>M-AC-OF-SM-24-SC</t>
        </is>
      </c>
      <c r="C73" s="36" t="inlineStr">
        <is>
          <t>Pengadaan dan pemasangan kabel udara fiber optik single mode 24 core g 652 d, "easy to split"</t>
        </is>
      </c>
      <c r="D73" s="35" t="inlineStr">
        <is>
          <t>meter</t>
        </is>
      </c>
      <c r="E73" s="37" t="n">
        <v>7482</v>
      </c>
      <c r="F73" s="42" t="n">
        <v>0</v>
      </c>
      <c r="G73" s="68" t="n"/>
      <c r="H73" s="68">
        <f>E73*G73</f>
        <v/>
      </c>
      <c r="I73" s="68">
        <f>F73*G73</f>
        <v/>
      </c>
      <c r="J73" s="68">
        <f>SUM(H73:I73)</f>
        <v/>
      </c>
      <c r="K73" s="39" t="n"/>
    </row>
    <row r="74" hidden="1" ht="42.75" customHeight="1">
      <c r="A74" s="35" t="n">
        <v>66</v>
      </c>
      <c r="B74" s="40" t="inlineStr">
        <is>
          <t>J-AC-OF-SM-24-SC</t>
        </is>
      </c>
      <c r="C74" s="36" t="inlineStr">
        <is>
          <t>Pengadaan dan pemasangan kabel udara fiber optik single mode 24 core g 652 d, "easy to split"</t>
        </is>
      </c>
      <c r="D74" s="35" t="inlineStr">
        <is>
          <t>meter</t>
        </is>
      </c>
      <c r="E74" s="42" t="n">
        <v>0</v>
      </c>
      <c r="F74" s="37" t="n">
        <v>4242</v>
      </c>
      <c r="G74" s="68" t="n"/>
      <c r="H74" s="68">
        <f>E74*G74</f>
        <v/>
      </c>
      <c r="I74" s="68">
        <f>F74*G74</f>
        <v/>
      </c>
      <c r="J74" s="68">
        <f>SUM(H74:I74)</f>
        <v/>
      </c>
      <c r="K74" s="39" t="n"/>
    </row>
    <row r="75" ht="42.75" customHeight="1">
      <c r="A75" s="35" t="n">
        <v>67</v>
      </c>
      <c r="B75" s="35" t="inlineStr">
        <is>
          <t>SC-OF-SM-24</t>
        </is>
      </c>
      <c r="C75" s="36" t="inlineStr">
        <is>
          <t>Pengadaan dan pemasangan alat sambung (cabang/ lurus) untuk fiber optik kapasitas 12 - 24 core</t>
        </is>
      </c>
      <c r="D75" s="35" t="inlineStr">
        <is>
          <t>pcs</t>
        </is>
      </c>
      <c r="E75" s="37" t="n">
        <v>696218</v>
      </c>
      <c r="F75" s="37" t="n">
        <v>35393</v>
      </c>
      <c r="G75" s="68" t="n">
        <v>1</v>
      </c>
      <c r="H75" s="68">
        <f>E75*G75</f>
        <v/>
      </c>
      <c r="I75" s="68">
        <f>F75*G75</f>
        <v/>
      </c>
      <c r="J75" s="68">
        <f>SUM(H75:I75)</f>
        <v/>
      </c>
      <c r="K75" s="39" t="n"/>
    </row>
    <row r="76" hidden="1" ht="29" customHeight="1">
      <c r="A76" s="35" t="n">
        <v>68</v>
      </c>
      <c r="B76" s="40" t="inlineStr">
        <is>
          <t>M-SC-OF-SM-24</t>
        </is>
      </c>
      <c r="C76" s="36" t="inlineStr">
        <is>
          <t>Pengadaan dan pemasangan alat sambung (cabang/ lurus) untuk fiber optik kapasitas 12 - 24 core</t>
        </is>
      </c>
      <c r="D76" s="35" t="inlineStr">
        <is>
          <t>pcs</t>
        </is>
      </c>
      <c r="E76" s="37" t="n">
        <v>696218</v>
      </c>
      <c r="F76" s="42" t="n">
        <v>0</v>
      </c>
      <c r="G76" s="68" t="n"/>
      <c r="H76" s="68">
        <f>E76*G76</f>
        <v/>
      </c>
      <c r="I76" s="68">
        <f>F76*G76</f>
        <v/>
      </c>
      <c r="J76" s="68">
        <f>SUM(H76:I76)</f>
        <v/>
      </c>
      <c r="K76" s="39" t="n"/>
    </row>
    <row r="77" hidden="1" ht="29" customHeight="1">
      <c r="A77" s="35" t="n">
        <v>69</v>
      </c>
      <c r="B77" s="40" t="inlineStr">
        <is>
          <t>J-SC-OF-SM-24</t>
        </is>
      </c>
      <c r="C77" s="36" t="inlineStr">
        <is>
          <t>Pengadaan dan pemasangan alat sambung (cabang/ lurus) untuk fiber optik kapasitas 12 - 24 core</t>
        </is>
      </c>
      <c r="D77" s="35" t="inlineStr">
        <is>
          <t>pcs</t>
        </is>
      </c>
      <c r="E77" s="42" t="n">
        <v>0</v>
      </c>
      <c r="F77" s="37" t="n">
        <v>35393</v>
      </c>
      <c r="G77" s="68" t="n"/>
      <c r="H77" s="68">
        <f>E77*G77</f>
        <v/>
      </c>
      <c r="I77" s="68">
        <f>F77*G77</f>
        <v/>
      </c>
      <c r="J77" s="68">
        <f>SUM(H77:I77)</f>
        <v/>
      </c>
      <c r="K77" s="39" t="n"/>
    </row>
    <row r="78" hidden="1" ht="29" customHeight="1">
      <c r="A78" s="35" t="n">
        <v>70</v>
      </c>
      <c r="B78" s="35" t="inlineStr">
        <is>
          <t>SC-OF-SM-48</t>
        </is>
      </c>
      <c r="C78" s="36" t="inlineStr">
        <is>
          <t>Pengadaan dan pemasangan alat sambung (cabang/ lurus) untuk fiber optik kapasitas 12 - 48 core</t>
        </is>
      </c>
      <c r="D78" s="35" t="inlineStr">
        <is>
          <t>pcs</t>
        </is>
      </c>
      <c r="E78" s="37" t="n">
        <v>786539</v>
      </c>
      <c r="F78" s="37" t="n">
        <v>35393</v>
      </c>
      <c r="G78" s="68" t="n"/>
      <c r="H78" s="68">
        <f>E78*G78</f>
        <v/>
      </c>
      <c r="I78" s="68">
        <f>F78*G78</f>
        <v/>
      </c>
      <c r="J78" s="68">
        <f>SUM(H78:I78)</f>
        <v/>
      </c>
      <c r="K78" s="43" t="n"/>
    </row>
    <row r="79" hidden="1" ht="29" customHeight="1">
      <c r="A79" s="35" t="n">
        <v>71</v>
      </c>
      <c r="B79" s="40" t="inlineStr">
        <is>
          <t>M-SC-OF-SM-48</t>
        </is>
      </c>
      <c r="C79" s="36" t="inlineStr">
        <is>
          <t>Pengadaan dan pemasangan alat sambung (cabang/ lurus) untuk fiber optik kapasitas 12 - 48 core</t>
        </is>
      </c>
      <c r="D79" s="35" t="inlineStr">
        <is>
          <t>pcs</t>
        </is>
      </c>
      <c r="E79" s="37" t="n">
        <v>786539</v>
      </c>
      <c r="F79" s="42" t="n">
        <v>0</v>
      </c>
      <c r="G79" s="68" t="n"/>
      <c r="H79" s="68">
        <f>E79*G79</f>
        <v/>
      </c>
      <c r="I79" s="68">
        <f>F79*G79</f>
        <v/>
      </c>
      <c r="J79" s="68">
        <f>SUM(H79:I79)</f>
        <v/>
      </c>
      <c r="K79" s="43" t="n"/>
    </row>
    <row r="80" hidden="1" ht="29" customHeight="1">
      <c r="A80" s="35" t="n">
        <v>72</v>
      </c>
      <c r="B80" s="40" t="inlineStr">
        <is>
          <t>J-SC-OF-SM-48</t>
        </is>
      </c>
      <c r="C80" s="36" t="inlineStr">
        <is>
          <t>Pengadaan dan pemasangan alat sambung (cabang/ lurus) untuk fiber optik kapasitas 12 - 48 core</t>
        </is>
      </c>
      <c r="D80" s="35" t="inlineStr">
        <is>
          <t>pcs</t>
        </is>
      </c>
      <c r="E80" s="42" t="n">
        <v>0</v>
      </c>
      <c r="F80" s="37" t="n">
        <v>35393</v>
      </c>
      <c r="G80" s="68" t="n"/>
      <c r="H80" s="68">
        <f>E80*G80</f>
        <v/>
      </c>
      <c r="I80" s="68">
        <f>F80*G80</f>
        <v/>
      </c>
      <c r="J80" s="68">
        <f>SUM(H80:I80)</f>
        <v/>
      </c>
      <c r="K80" s="43" t="n"/>
    </row>
    <row r="81" hidden="1" ht="29" customHeight="1">
      <c r="A81" s="35" t="n">
        <v>73</v>
      </c>
      <c r="B81" s="35" t="inlineStr">
        <is>
          <t>SC-OF-SM-96</t>
        </is>
      </c>
      <c r="C81" s="36" t="inlineStr">
        <is>
          <t>Pengadaan dan pemasangan alat sambung (cabang/ lurus) untuk fiber optik kapasitas 12 - 96 core</t>
        </is>
      </c>
      <c r="D81" s="35" t="inlineStr">
        <is>
          <t>pcs</t>
        </is>
      </c>
      <c r="E81" s="37" t="n">
        <v>954682</v>
      </c>
      <c r="F81" s="37" t="n">
        <v>34167</v>
      </c>
      <c r="G81" s="68" t="n"/>
      <c r="H81" s="68">
        <f>E81*G81</f>
        <v/>
      </c>
      <c r="I81" s="68">
        <f>F81*G81</f>
        <v/>
      </c>
      <c r="J81" s="68">
        <f>SUM(H81:I81)</f>
        <v/>
      </c>
      <c r="K81" s="43" t="n"/>
    </row>
    <row r="82" hidden="1" ht="29" customHeight="1">
      <c r="A82" s="35" t="n">
        <v>74</v>
      </c>
      <c r="B82" s="40" t="inlineStr">
        <is>
          <t>M-SC-OF-SM-96</t>
        </is>
      </c>
      <c r="C82" s="36" t="inlineStr">
        <is>
          <t>Pengadaan dan pemasangan alat sambung (cabang/ lurus) untuk fiber optik kapasitas 12 - 96 core</t>
        </is>
      </c>
      <c r="D82" s="35" t="inlineStr">
        <is>
          <t>pcs</t>
        </is>
      </c>
      <c r="E82" s="37" t="n">
        <v>954682</v>
      </c>
      <c r="F82" s="42" t="n">
        <v>0</v>
      </c>
      <c r="G82" s="68" t="n"/>
      <c r="H82" s="68">
        <f>E82*G82</f>
        <v/>
      </c>
      <c r="I82" s="68">
        <f>F82*G82</f>
        <v/>
      </c>
      <c r="J82" s="68">
        <f>SUM(H82:I82)</f>
        <v/>
      </c>
      <c r="K82" s="43" t="n"/>
    </row>
    <row r="83" hidden="1" ht="29" customHeight="1">
      <c r="A83" s="35" t="n">
        <v>75</v>
      </c>
      <c r="B83" s="40" t="inlineStr">
        <is>
          <t>J-SC-OF-SM-96</t>
        </is>
      </c>
      <c r="C83" s="36" t="inlineStr">
        <is>
          <t>Pengadaan dan pemasangan alat sambung (cabang/ lurus) untuk fiber optik kapasitas 12 - 96 core</t>
        </is>
      </c>
      <c r="D83" s="35" t="inlineStr">
        <is>
          <t>pcs</t>
        </is>
      </c>
      <c r="E83" s="42" t="n">
        <v>0</v>
      </c>
      <c r="F83" s="37" t="n">
        <v>34167</v>
      </c>
      <c r="G83" s="68" t="n"/>
      <c r="H83" s="68">
        <f>E83*G83</f>
        <v/>
      </c>
      <c r="I83" s="68">
        <f>F83*G83</f>
        <v/>
      </c>
      <c r="J83" s="68">
        <f>SUM(H83:I83)</f>
        <v/>
      </c>
      <c r="K83" s="39" t="n"/>
    </row>
    <row r="84" hidden="1" ht="29" customHeight="1">
      <c r="A84" s="35" t="n">
        <v>76</v>
      </c>
      <c r="B84" s="35" t="inlineStr">
        <is>
          <t>SC-OF-SM-144</t>
        </is>
      </c>
      <c r="C84" s="36" t="inlineStr">
        <is>
          <t>Pengadaan dan pemasangan alat sambung (cabang/ lurus) untuk fiber optik kapasitas 12 - 144 core</t>
        </is>
      </c>
      <c r="D84" s="35" t="inlineStr">
        <is>
          <t>pcs</t>
        </is>
      </c>
      <c r="E84" s="37" t="n">
        <v>1327365</v>
      </c>
      <c r="F84" s="37" t="n">
        <v>34167</v>
      </c>
      <c r="G84" s="68" t="n"/>
      <c r="H84" s="68">
        <f>E84*G84</f>
        <v/>
      </c>
      <c r="I84" s="68">
        <f>F84*G84</f>
        <v/>
      </c>
      <c r="J84" s="68">
        <f>SUM(H84:I84)</f>
        <v/>
      </c>
      <c r="K84" s="39" t="n"/>
    </row>
    <row r="85" hidden="1" ht="29" customHeight="1">
      <c r="A85" s="35" t="n">
        <v>77</v>
      </c>
      <c r="B85" s="40" t="inlineStr">
        <is>
          <t>M-SC-OF-SM-144</t>
        </is>
      </c>
      <c r="C85" s="36" t="inlineStr">
        <is>
          <t>Pengadaan dan pemasangan alat sambung (cabang/ lurus) untuk fiber optik kapasitas 12 - 144 core</t>
        </is>
      </c>
      <c r="D85" s="35" t="inlineStr">
        <is>
          <t>pcs</t>
        </is>
      </c>
      <c r="E85" s="37" t="n">
        <v>1327365</v>
      </c>
      <c r="F85" s="42" t="n">
        <v>0</v>
      </c>
      <c r="G85" s="68" t="n"/>
      <c r="H85" s="68">
        <f>E85*G85</f>
        <v/>
      </c>
      <c r="I85" s="68">
        <f>F85*G85</f>
        <v/>
      </c>
      <c r="J85" s="68">
        <f>SUM(H85:I85)</f>
        <v/>
      </c>
      <c r="K85" s="43" t="n"/>
    </row>
    <row r="86" hidden="1" ht="29" customHeight="1">
      <c r="A86" s="35" t="n">
        <v>78</v>
      </c>
      <c r="B86" s="40" t="inlineStr">
        <is>
          <t>J-SC-OF-SM-144</t>
        </is>
      </c>
      <c r="C86" s="36" t="inlineStr">
        <is>
          <t>Pengadaan dan pemasangan alat sambung (cabang/ lurus) untuk fiber optik kapasitas 12 - 144 core</t>
        </is>
      </c>
      <c r="D86" s="35" t="inlineStr">
        <is>
          <t>pcs</t>
        </is>
      </c>
      <c r="E86" s="42" t="n">
        <v>0</v>
      </c>
      <c r="F86" s="37" t="n">
        <v>34167</v>
      </c>
      <c r="G86" s="68" t="n"/>
      <c r="H86" s="68">
        <f>E86*G86</f>
        <v/>
      </c>
      <c r="I86" s="68">
        <f>F86*G86</f>
        <v/>
      </c>
      <c r="J86" s="68">
        <f>SUM(H86:I86)</f>
        <v/>
      </c>
      <c r="K86" s="43" t="n"/>
    </row>
    <row r="87" hidden="1" ht="29" customHeight="1">
      <c r="A87" s="35" t="n">
        <v>79</v>
      </c>
      <c r="B87" s="35" t="inlineStr">
        <is>
          <t>SC-OF-SM-288</t>
        </is>
      </c>
      <c r="C87" s="36" t="inlineStr">
        <is>
          <t>Pengadaan dan pemasangan alat sambung (cabang/ lurus) untuk fiber optik kapasitas 12 - 288 core</t>
        </is>
      </c>
      <c r="D87" s="35" t="inlineStr">
        <is>
          <t>pcs</t>
        </is>
      </c>
      <c r="E87" s="37" t="n">
        <v>2609350</v>
      </c>
      <c r="F87" s="37" t="n">
        <v>34167</v>
      </c>
      <c r="G87" s="68" t="n"/>
      <c r="H87" s="68">
        <f>E87*G87</f>
        <v/>
      </c>
      <c r="I87" s="68">
        <f>F87*G87</f>
        <v/>
      </c>
      <c r="J87" s="68">
        <f>SUM(H87:I87)</f>
        <v/>
      </c>
      <c r="K87" s="43" t="n"/>
    </row>
    <row r="88" hidden="1" ht="29" customFormat="1" customHeight="1" s="1">
      <c r="A88" s="35" t="n">
        <v>80</v>
      </c>
      <c r="B88" s="40" t="inlineStr">
        <is>
          <t>M-SC-OF-SM-288</t>
        </is>
      </c>
      <c r="C88" s="36" t="inlineStr">
        <is>
          <t>Pengadaan dan pemasangan alat sambung (cabang/ lurus) untuk fiber optik kapasitas 12 - 288 core</t>
        </is>
      </c>
      <c r="D88" s="35" t="inlineStr">
        <is>
          <t>pcs</t>
        </is>
      </c>
      <c r="E88" s="37" t="n">
        <v>2609350</v>
      </c>
      <c r="F88" s="42" t="n">
        <v>0</v>
      </c>
      <c r="G88" s="68" t="n"/>
      <c r="H88" s="68">
        <f>E88*G88</f>
        <v/>
      </c>
      <c r="I88" s="68">
        <f>F88*G88</f>
        <v/>
      </c>
      <c r="J88" s="68">
        <f>SUM(H88:I88)</f>
        <v/>
      </c>
      <c r="K88" s="44" t="n"/>
      <c r="L88" s="11" t="n"/>
      <c r="M88" s="12" t="n"/>
      <c r="N88" s="12" t="n"/>
      <c r="O88" s="12" t="n"/>
      <c r="P88" s="12" t="n"/>
      <c r="Q88" s="12" t="n"/>
      <c r="R88" s="12" t="n"/>
      <c r="S88" s="12" t="n"/>
      <c r="T88" s="12" t="n"/>
      <c r="U88" s="12" t="n"/>
      <c r="V88" s="12" t="n"/>
      <c r="W88" s="12" t="n"/>
      <c r="X88" s="12" t="n"/>
    </row>
    <row r="89" hidden="1" ht="29" customFormat="1" customHeight="1" s="1">
      <c r="A89" s="35" t="n">
        <v>81</v>
      </c>
      <c r="B89" s="40" t="inlineStr">
        <is>
          <t>J-SC-OF-SM-288</t>
        </is>
      </c>
      <c r="C89" s="36" t="inlineStr">
        <is>
          <t>Pengadaan dan pemasangan alat sambung (cabang/ lurus) untuk fiber optik kapasitas 12 - 288 core</t>
        </is>
      </c>
      <c r="D89" s="35" t="inlineStr">
        <is>
          <t>pcs</t>
        </is>
      </c>
      <c r="E89" s="42" t="n">
        <v>0</v>
      </c>
      <c r="F89" s="37" t="n">
        <v>34167</v>
      </c>
      <c r="G89" s="68" t="n"/>
      <c r="H89" s="68">
        <f>E89*G89</f>
        <v/>
      </c>
      <c r="I89" s="68">
        <f>F89*G89</f>
        <v/>
      </c>
      <c r="J89" s="68">
        <f>SUM(H89:I89)</f>
        <v/>
      </c>
      <c r="K89" s="44" t="n"/>
      <c r="L89" s="11" t="n"/>
      <c r="M89" s="12" t="n"/>
      <c r="N89" s="12" t="n"/>
      <c r="O89" s="12" t="n"/>
      <c r="P89" s="12" t="n"/>
      <c r="Q89" s="12" t="n"/>
      <c r="R89" s="12" t="n"/>
      <c r="S89" s="12" t="n"/>
      <c r="T89" s="12" t="n"/>
      <c r="U89" s="12" t="n"/>
      <c r="V89" s="12" t="n"/>
      <c r="W89" s="12" t="n"/>
      <c r="X89" s="12" t="n"/>
    </row>
    <row r="90" ht="29" customHeight="1">
      <c r="A90" s="35" t="n">
        <v>82</v>
      </c>
      <c r="B90" s="35" t="inlineStr">
        <is>
          <t>OS-SM-1</t>
        </is>
      </c>
      <c r="C90" s="36" t="inlineStr">
        <is>
          <t>Penyambungan kabel optik single mode kap 1 core dengan cara fusion splice</t>
        </is>
      </c>
      <c r="D90" s="35" t="inlineStr">
        <is>
          <t>core</t>
        </is>
      </c>
      <c r="E90" s="37" t="n">
        <v>0</v>
      </c>
      <c r="F90" s="37" t="n">
        <v>46274</v>
      </c>
      <c r="G90" s="68" t="n">
        <v>6</v>
      </c>
      <c r="H90" s="68">
        <f>E90*G90</f>
        <v/>
      </c>
      <c r="I90" s="68">
        <f>F90*G90</f>
        <v/>
      </c>
      <c r="J90" s="68">
        <f>SUM(H90:I90)</f>
        <v/>
      </c>
      <c r="K90" s="39" t="n"/>
    </row>
    <row r="91" hidden="1" ht="29" customHeight="1">
      <c r="A91" s="35" t="n">
        <v>83</v>
      </c>
      <c r="B91" s="40" t="inlineStr">
        <is>
          <t>J-OS-SM-1</t>
        </is>
      </c>
      <c r="C91" s="36" t="inlineStr">
        <is>
          <t>Penyambungan kabel optik single mode kap 1 core dengan cara fusion splice</t>
        </is>
      </c>
      <c r="D91" s="35" t="inlineStr">
        <is>
          <t>core</t>
        </is>
      </c>
      <c r="E91" s="42" t="n">
        <v>0</v>
      </c>
      <c r="F91" s="37" t="n">
        <v>46274</v>
      </c>
      <c r="G91" s="68" t="n"/>
      <c r="H91" s="68">
        <f>E91*G91</f>
        <v/>
      </c>
      <c r="I91" s="68">
        <f>F91*G91</f>
        <v/>
      </c>
      <c r="J91" s="68">
        <f>SUM(H91:I91)</f>
        <v/>
      </c>
      <c r="K91" s="39" t="n"/>
    </row>
    <row r="92" hidden="1" ht="29" customHeight="1">
      <c r="A92" s="35" t="n">
        <v>84</v>
      </c>
      <c r="B92" s="35" t="inlineStr">
        <is>
          <t>AB-OF-SM-2D</t>
        </is>
      </c>
      <c r="C92" s="36" t="inlineStr">
        <is>
          <t>Pengadaan dan pemasangan air blown cable optik, single mode 2 core, g 652 d</t>
        </is>
      </c>
      <c r="D92" s="35" t="inlineStr">
        <is>
          <t>meter</t>
        </is>
      </c>
      <c r="E92" s="37" t="n">
        <v>2165</v>
      </c>
      <c r="F92" s="37" t="n">
        <v>2412</v>
      </c>
      <c r="G92" s="68" t="n"/>
      <c r="H92" s="68">
        <f>E92*G92</f>
        <v/>
      </c>
      <c r="I92" s="68">
        <f>F92*G92</f>
        <v/>
      </c>
      <c r="J92" s="68">
        <f>SUM(H92:I92)</f>
        <v/>
      </c>
      <c r="K92" s="39" t="n"/>
    </row>
    <row r="93" hidden="1" ht="29" customHeight="1">
      <c r="A93" s="35" t="n">
        <v>85</v>
      </c>
      <c r="B93" s="40" t="inlineStr">
        <is>
          <t>M-AB-OF-SM-2D</t>
        </is>
      </c>
      <c r="C93" s="36" t="inlineStr">
        <is>
          <t>Pengadaan dan pemasangan air blown cable optik, single mode 2 core, g 652 d</t>
        </is>
      </c>
      <c r="D93" s="35" t="inlineStr">
        <is>
          <t>meter</t>
        </is>
      </c>
      <c r="E93" s="37" t="n">
        <v>2165</v>
      </c>
      <c r="F93" s="42" t="n">
        <v>0</v>
      </c>
      <c r="G93" s="68" t="n"/>
      <c r="H93" s="68">
        <f>E93*G93</f>
        <v/>
      </c>
      <c r="I93" s="68">
        <f>F93*G93</f>
        <v/>
      </c>
      <c r="J93" s="68">
        <f>SUM(H93:I93)</f>
        <v/>
      </c>
      <c r="K93" s="43" t="n"/>
    </row>
    <row r="94" hidden="1" ht="29" customHeight="1">
      <c r="A94" s="35" t="n">
        <v>86</v>
      </c>
      <c r="B94" s="40" t="inlineStr">
        <is>
          <t>J-AB-OF-SM-2D</t>
        </is>
      </c>
      <c r="C94" s="36" t="inlineStr">
        <is>
          <t>Pengadaan dan pemasangan air blown cable optik, single mode 2 core, g 652 d</t>
        </is>
      </c>
      <c r="D94" s="35" t="inlineStr">
        <is>
          <t>meter</t>
        </is>
      </c>
      <c r="E94" s="42" t="n">
        <v>0</v>
      </c>
      <c r="F94" s="37" t="n">
        <v>2412</v>
      </c>
      <c r="G94" s="68" t="n"/>
      <c r="H94" s="68">
        <f>E94*G94</f>
        <v/>
      </c>
      <c r="I94" s="68">
        <f>F94*G94</f>
        <v/>
      </c>
      <c r="J94" s="68">
        <f>SUM(H94:I94)</f>
        <v/>
      </c>
      <c r="K94" s="43" t="n"/>
    </row>
    <row r="95" hidden="1" ht="29" customHeight="1">
      <c r="A95" s="35" t="n">
        <v>87</v>
      </c>
      <c r="B95" s="35" t="inlineStr">
        <is>
          <t>AB-OF-SM-4D</t>
        </is>
      </c>
      <c r="C95" s="36" t="inlineStr">
        <is>
          <t>Pengadaan dan pemasangan air blown cable optik, single mode 4 core, g 652 d</t>
        </is>
      </c>
      <c r="D95" s="35" t="inlineStr">
        <is>
          <t>meter</t>
        </is>
      </c>
      <c r="E95" s="37" t="n">
        <v>3029</v>
      </c>
      <c r="F95" s="37" t="n">
        <v>2412</v>
      </c>
      <c r="G95" s="68" t="n"/>
      <c r="H95" s="68">
        <f>E95*G95</f>
        <v/>
      </c>
      <c r="I95" s="68">
        <f>F95*G95</f>
        <v/>
      </c>
      <c r="J95" s="68">
        <f>SUM(H95:I95)</f>
        <v/>
      </c>
      <c r="K95" s="43" t="n"/>
    </row>
    <row r="96" hidden="1" ht="29" customHeight="1">
      <c r="A96" s="35" t="n">
        <v>88</v>
      </c>
      <c r="B96" s="40" t="inlineStr">
        <is>
          <t>M-AB-OF-SM-4D</t>
        </is>
      </c>
      <c r="C96" s="36" t="inlineStr">
        <is>
          <t>Pengadaan dan pemasangan air blown cable optik, single mode 4 core, g 652 d</t>
        </is>
      </c>
      <c r="D96" s="35" t="inlineStr">
        <is>
          <t>meter</t>
        </is>
      </c>
      <c r="E96" s="37" t="n">
        <v>3029</v>
      </c>
      <c r="F96" s="42" t="n">
        <v>0</v>
      </c>
      <c r="G96" s="68" t="n"/>
      <c r="H96" s="68">
        <f>E96*G96</f>
        <v/>
      </c>
      <c r="I96" s="68">
        <f>F96*G96</f>
        <v/>
      </c>
      <c r="J96" s="68">
        <f>SUM(H96:I96)</f>
        <v/>
      </c>
      <c r="K96" s="39" t="n"/>
    </row>
    <row r="97" hidden="1" ht="29" customHeight="1">
      <c r="A97" s="35" t="n">
        <v>89</v>
      </c>
      <c r="B97" s="40" t="inlineStr">
        <is>
          <t>J-AB-OF-SM-4D</t>
        </is>
      </c>
      <c r="C97" s="36" t="inlineStr">
        <is>
          <t>Pengadaan dan pemasangan air blown cable optik, single mode 4 core, g 652 d</t>
        </is>
      </c>
      <c r="D97" s="35" t="inlineStr">
        <is>
          <t>meter</t>
        </is>
      </c>
      <c r="E97" s="42" t="n">
        <v>0</v>
      </c>
      <c r="F97" s="37" t="n">
        <v>2412</v>
      </c>
      <c r="G97" s="68" t="n"/>
      <c r="H97" s="68">
        <f>E97*G97</f>
        <v/>
      </c>
      <c r="I97" s="68">
        <f>F97*G97</f>
        <v/>
      </c>
      <c r="J97" s="68">
        <f>SUM(H97:I97)</f>
        <v/>
      </c>
      <c r="K97" s="39" t="n"/>
      <c r="M97" s="12" t="inlineStr">
        <is>
          <t>PT3 ODC, PT3 BRANCHING</t>
        </is>
      </c>
      <c r="N97" s="12" t="n"/>
      <c r="O97" s="12" t="n"/>
    </row>
    <row r="98" hidden="1" ht="29" customHeight="1">
      <c r="A98" s="35" t="n">
        <v>90</v>
      </c>
      <c r="B98" s="35" t="inlineStr">
        <is>
          <t>AB-OF-SM-8D</t>
        </is>
      </c>
      <c r="C98" s="36" t="inlineStr">
        <is>
          <t>Pengadaan dan pemasangan air blown cable optik, single mode core, g 652 d</t>
        </is>
      </c>
      <c r="D98" s="35" t="inlineStr">
        <is>
          <t>meter</t>
        </is>
      </c>
      <c r="E98" s="37" t="n">
        <v>5626</v>
      </c>
      <c r="F98" s="37" t="n">
        <v>2412</v>
      </c>
      <c r="G98" s="68" t="n"/>
      <c r="H98" s="68">
        <f>E98*G98</f>
        <v/>
      </c>
      <c r="I98" s="68">
        <f>F98*G98</f>
        <v/>
      </c>
      <c r="J98" s="68">
        <f>SUM(H98:I98)</f>
        <v/>
      </c>
      <c r="K98" s="39" t="n"/>
      <c r="N98" s="12" t="n"/>
      <c r="O98" s="12" t="n"/>
    </row>
    <row r="99" hidden="1" ht="29" customHeight="1">
      <c r="A99" s="35" t="n">
        <v>91</v>
      </c>
      <c r="B99" s="40" t="inlineStr">
        <is>
          <t>M-AB-OF-SM-8D</t>
        </is>
      </c>
      <c r="C99" s="36" t="inlineStr">
        <is>
          <t>Pengadaan dan pemasangan air blown cable optik, single mode core, g 652 d</t>
        </is>
      </c>
      <c r="D99" s="35" t="inlineStr">
        <is>
          <t>meter</t>
        </is>
      </c>
      <c r="E99" s="37" t="n">
        <v>5626</v>
      </c>
      <c r="F99" s="42" t="n">
        <v>0</v>
      </c>
      <c r="G99" s="68" t="n"/>
      <c r="H99" s="68">
        <f>E99*G99</f>
        <v/>
      </c>
      <c r="I99" s="68">
        <f>F99*G99</f>
        <v/>
      </c>
      <c r="J99" s="68">
        <f>SUM(H99:I99)</f>
        <v/>
      </c>
      <c r="K99" s="43" t="n"/>
      <c r="N99" s="12" t="n"/>
      <c r="O99" s="12" t="n"/>
    </row>
    <row r="100" hidden="1" ht="29" customHeight="1">
      <c r="A100" s="35" t="n">
        <v>92</v>
      </c>
      <c r="B100" s="40" t="inlineStr">
        <is>
          <t>J-AB-OF-SM-8D</t>
        </is>
      </c>
      <c r="C100" s="36" t="inlineStr">
        <is>
          <t>Pengadaan dan pemasangan air blown cable optik, single mode core, g 652 d</t>
        </is>
      </c>
      <c r="D100" s="35" t="inlineStr">
        <is>
          <t>meter</t>
        </is>
      </c>
      <c r="E100" s="42" t="n">
        <v>0</v>
      </c>
      <c r="F100" s="37" t="n">
        <v>2412</v>
      </c>
      <c r="G100" s="68" t="n"/>
      <c r="H100" s="68">
        <f>E100*G100</f>
        <v/>
      </c>
      <c r="I100" s="68">
        <f>F100*G100</f>
        <v/>
      </c>
      <c r="J100" s="68">
        <f>SUM(H100:I100)</f>
        <v/>
      </c>
      <c r="K100" s="39" t="n"/>
      <c r="M100" s="12" t="inlineStr">
        <is>
          <t>PT3 UNDERGROUND, PT3 AERIAL</t>
        </is>
      </c>
      <c r="N100" s="12" t="n"/>
      <c r="O100" s="12" t="inlineStr">
        <is>
          <t>PT4 UNDERGROUND, PT4 AERIAL</t>
        </is>
      </c>
    </row>
    <row r="101" hidden="1" ht="29" customHeight="1">
      <c r="A101" s="35" t="n">
        <v>93</v>
      </c>
      <c r="B101" s="35" t="inlineStr">
        <is>
          <t>AB-OF-SM-12D</t>
        </is>
      </c>
      <c r="C101" s="36" t="inlineStr">
        <is>
          <t>Pengadaan dan pemasangan air blown cable optik, single mode 12 core, g 652 d</t>
        </is>
      </c>
      <c r="D101" s="35" t="inlineStr">
        <is>
          <t>meter</t>
        </is>
      </c>
      <c r="E101" s="37" t="n">
        <v>7791</v>
      </c>
      <c r="F101" s="37" t="n">
        <v>2412</v>
      </c>
      <c r="G101" s="68" t="n"/>
      <c r="H101" s="68">
        <f>E101*G101</f>
        <v/>
      </c>
      <c r="I101" s="68">
        <f>F101*G101</f>
        <v/>
      </c>
      <c r="J101" s="68">
        <f>SUM(H101:I101)</f>
        <v/>
      </c>
      <c r="K101" s="39" t="n"/>
    </row>
    <row r="102" hidden="1" ht="29" customHeight="1">
      <c r="A102" s="35" t="n">
        <v>94</v>
      </c>
      <c r="B102" s="40" t="inlineStr">
        <is>
          <t>M-AB-OF-SM-12D</t>
        </is>
      </c>
      <c r="C102" s="36" t="inlineStr">
        <is>
          <t>Pengadaan dan pemasangan air blown cable optik, single mode 12 core, g 652 d</t>
        </is>
      </c>
      <c r="D102" s="35" t="inlineStr">
        <is>
          <t>meter</t>
        </is>
      </c>
      <c r="E102" s="37" t="n">
        <v>7791</v>
      </c>
      <c r="F102" s="42" t="n">
        <v>0</v>
      </c>
      <c r="G102" s="68" t="n"/>
      <c r="H102" s="68">
        <f>E102*G102</f>
        <v/>
      </c>
      <c r="I102" s="68">
        <f>F102*G102</f>
        <v/>
      </c>
      <c r="J102" s="68">
        <f>SUM(H102:I102)</f>
        <v/>
      </c>
      <c r="K102" s="43" t="n"/>
    </row>
    <row r="103" hidden="1" ht="29" customHeight="1">
      <c r="A103" s="35" t="n">
        <v>95</v>
      </c>
      <c r="B103" s="40" t="inlineStr">
        <is>
          <t>J-AB-OF-SM-12D</t>
        </is>
      </c>
      <c r="C103" s="36" t="inlineStr">
        <is>
          <t>Pengadaan dan pemasangan air blown cable optik, single mode 12 core, g 652 d</t>
        </is>
      </c>
      <c r="D103" s="35" t="inlineStr">
        <is>
          <t>meter</t>
        </is>
      </c>
      <c r="E103" s="42" t="n">
        <v>0</v>
      </c>
      <c r="F103" s="37" t="n">
        <v>2412</v>
      </c>
      <c r="G103" s="68" t="n"/>
      <c r="H103" s="68">
        <f>E103*G103</f>
        <v/>
      </c>
      <c r="I103" s="68">
        <f>F103*G103</f>
        <v/>
      </c>
      <c r="J103" s="68">
        <f>SUM(H103:I103)</f>
        <v/>
      </c>
      <c r="K103" s="43" t="n"/>
    </row>
    <row r="104" hidden="1" ht="29" customHeight="1">
      <c r="A104" s="35" t="n">
        <v>96</v>
      </c>
      <c r="B104" s="35" t="inlineStr">
        <is>
          <t>AB-OF-SM-24D</t>
        </is>
      </c>
      <c r="C104" s="36" t="inlineStr">
        <is>
          <t>Pengadaan dan pemasangan air blown cable optik, single mode 24 core, g 652 d</t>
        </is>
      </c>
      <c r="D104" s="35" t="inlineStr">
        <is>
          <t>meter</t>
        </is>
      </c>
      <c r="E104" s="37" t="n">
        <v>11097</v>
      </c>
      <c r="F104" s="37" t="n">
        <v>3417</v>
      </c>
      <c r="G104" s="68" t="n"/>
      <c r="H104" s="68">
        <f>E104*G104</f>
        <v/>
      </c>
      <c r="I104" s="68">
        <f>F104*G104</f>
        <v/>
      </c>
      <c r="J104" s="68">
        <f>SUM(H104:I104)</f>
        <v/>
      </c>
      <c r="K104" s="43" t="n"/>
    </row>
    <row r="105" hidden="1" ht="29" customHeight="1">
      <c r="A105" s="35" t="n">
        <v>97</v>
      </c>
      <c r="B105" s="40" t="inlineStr">
        <is>
          <t>M-AB-OF-SM-24D</t>
        </is>
      </c>
      <c r="C105" s="36" t="inlineStr">
        <is>
          <t>Pengadaan dan pemasangan air blown cable optik, single mode 24 core, g 652 d</t>
        </is>
      </c>
      <c r="D105" s="35" t="inlineStr">
        <is>
          <t>meter</t>
        </is>
      </c>
      <c r="E105" s="37" t="n">
        <v>11097</v>
      </c>
      <c r="F105" s="42" t="n">
        <v>0</v>
      </c>
      <c r="G105" s="68" t="n"/>
      <c r="H105" s="68">
        <f>E105*G105</f>
        <v/>
      </c>
      <c r="I105" s="68">
        <f>F105*G105</f>
        <v/>
      </c>
      <c r="J105" s="68">
        <f>SUM(H105:I105)</f>
        <v/>
      </c>
      <c r="K105" s="43" t="n"/>
    </row>
    <row r="106" hidden="1" ht="29" customHeight="1">
      <c r="A106" s="35" t="n">
        <v>98</v>
      </c>
      <c r="B106" s="40" t="inlineStr">
        <is>
          <t>J-AB-OF-SM-24D</t>
        </is>
      </c>
      <c r="C106" s="36" t="inlineStr">
        <is>
          <t>Pengadaan dan pemasangan air blown cable optik, single mode 24 core, g 652 d</t>
        </is>
      </c>
      <c r="D106" s="35" t="inlineStr">
        <is>
          <t>meter</t>
        </is>
      </c>
      <c r="E106" s="42" t="n">
        <v>0</v>
      </c>
      <c r="F106" s="37" t="n">
        <v>3417</v>
      </c>
      <c r="G106" s="68" t="n"/>
      <c r="H106" s="68">
        <f>E106*G106</f>
        <v/>
      </c>
      <c r="I106" s="68">
        <f>F106*G106</f>
        <v/>
      </c>
      <c r="J106" s="68">
        <f>SUM(H106:I106)</f>
        <v/>
      </c>
      <c r="K106" s="43" t="n"/>
    </row>
    <row r="107" hidden="1" ht="29" customHeight="1">
      <c r="A107" s="35" t="n">
        <v>99</v>
      </c>
      <c r="B107" s="35" t="inlineStr">
        <is>
          <t>AB-OF-SM-48D</t>
        </is>
      </c>
      <c r="C107" s="36" t="inlineStr">
        <is>
          <t>Pengadaan dan pemasangan air blown cable optik, single mode 48 core, g 652 d</t>
        </is>
      </c>
      <c r="D107" s="35" t="inlineStr">
        <is>
          <t>meter</t>
        </is>
      </c>
      <c r="E107" s="37" t="n">
        <v>17528</v>
      </c>
      <c r="F107" s="37" t="n">
        <v>3417</v>
      </c>
      <c r="G107" s="68" t="n"/>
      <c r="H107" s="68">
        <f>E107*G107</f>
        <v/>
      </c>
      <c r="I107" s="68">
        <f>F107*G107</f>
        <v/>
      </c>
      <c r="J107" s="68">
        <f>SUM(H107:I107)</f>
        <v/>
      </c>
      <c r="K107" s="43" t="n"/>
    </row>
    <row r="108" hidden="1" ht="29" customHeight="1">
      <c r="A108" s="35" t="n">
        <v>100</v>
      </c>
      <c r="B108" s="40" t="inlineStr">
        <is>
          <t>M-AB-OF-SM-48D</t>
        </is>
      </c>
      <c r="C108" s="36" t="inlineStr">
        <is>
          <t>Pengadaan dan pemasangan air blown cable optik, single mode 48 core, g 652 d</t>
        </is>
      </c>
      <c r="D108" s="35" t="inlineStr">
        <is>
          <t>meter</t>
        </is>
      </c>
      <c r="E108" s="37" t="n">
        <v>17528</v>
      </c>
      <c r="F108" s="42" t="n">
        <v>0</v>
      </c>
      <c r="G108" s="68" t="n"/>
      <c r="H108" s="68">
        <f>E108*G108</f>
        <v/>
      </c>
      <c r="I108" s="68">
        <f>F108*G108</f>
        <v/>
      </c>
      <c r="J108" s="68">
        <f>SUM(H108:I108)</f>
        <v/>
      </c>
      <c r="K108" s="43" t="n"/>
    </row>
    <row r="109" hidden="1" ht="29" customHeight="1">
      <c r="A109" s="35" t="n">
        <v>101</v>
      </c>
      <c r="B109" s="40" t="inlineStr">
        <is>
          <t>J-AB-OF-SM-48D</t>
        </is>
      </c>
      <c r="C109" s="36" t="inlineStr">
        <is>
          <t>Pengadaan dan pemasangan air blown cable optik, single mode 48 core, g 652 d</t>
        </is>
      </c>
      <c r="D109" s="35" t="inlineStr">
        <is>
          <t>meter</t>
        </is>
      </c>
      <c r="E109" s="42" t="n">
        <v>0</v>
      </c>
      <c r="F109" s="37" t="n">
        <v>3417</v>
      </c>
      <c r="G109" s="68" t="n"/>
      <c r="H109" s="68">
        <f>E109*G109</f>
        <v/>
      </c>
      <c r="I109" s="68">
        <f>F109*G109</f>
        <v/>
      </c>
      <c r="J109" s="68">
        <f>SUM(H109:I109)</f>
        <v/>
      </c>
      <c r="K109" s="43" t="n"/>
    </row>
    <row r="110" hidden="1" ht="29" customHeight="1">
      <c r="A110" s="35" t="n">
        <v>102</v>
      </c>
      <c r="B110" s="35" t="inlineStr">
        <is>
          <t>AB-OF-SM-72D</t>
        </is>
      </c>
      <c r="C110" s="36" t="inlineStr">
        <is>
          <t>Pengadaan dan pemasangan air blown cable optik, single mode 72 core, g 652 d</t>
        </is>
      </c>
      <c r="D110" s="35" t="inlineStr">
        <is>
          <t>meter</t>
        </is>
      </c>
      <c r="E110" s="37" t="n">
        <v>28132</v>
      </c>
      <c r="F110" s="37" t="n">
        <v>3417</v>
      </c>
      <c r="G110" s="68" t="n"/>
      <c r="H110" s="68">
        <f>E110*G110</f>
        <v/>
      </c>
      <c r="I110" s="68">
        <f>F110*G110</f>
        <v/>
      </c>
      <c r="J110" s="68">
        <f>SUM(H110:I110)</f>
        <v/>
      </c>
      <c r="K110" s="43" t="n"/>
    </row>
    <row r="111" hidden="1" ht="29" customHeight="1">
      <c r="A111" s="35" t="n">
        <v>103</v>
      </c>
      <c r="B111" s="40" t="inlineStr">
        <is>
          <t>M-AB-OF-SM-72D</t>
        </is>
      </c>
      <c r="C111" s="36" t="inlineStr">
        <is>
          <t>Pengadaan dan pemasangan air blown cable optik, single mode 72 core, g 652 d</t>
        </is>
      </c>
      <c r="D111" s="35" t="inlineStr">
        <is>
          <t>meter</t>
        </is>
      </c>
      <c r="E111" s="37" t="n">
        <v>28132</v>
      </c>
      <c r="F111" s="42" t="n">
        <v>0</v>
      </c>
      <c r="G111" s="68" t="n"/>
      <c r="H111" s="68">
        <f>E111*G111</f>
        <v/>
      </c>
      <c r="I111" s="68">
        <f>F111*G111</f>
        <v/>
      </c>
      <c r="J111" s="68">
        <f>SUM(H111:I111)</f>
        <v/>
      </c>
      <c r="K111" s="43" t="n"/>
    </row>
    <row r="112" hidden="1" ht="29" customHeight="1">
      <c r="A112" s="35" t="n">
        <v>104</v>
      </c>
      <c r="B112" s="40" t="inlineStr">
        <is>
          <t>J-AB-OF-SM-72D</t>
        </is>
      </c>
      <c r="C112" s="36" t="inlineStr">
        <is>
          <t>Pengadaan dan pemasangan air blown cable optik, single mode 72 core, g 652 d</t>
        </is>
      </c>
      <c r="D112" s="35" t="inlineStr">
        <is>
          <t>meter</t>
        </is>
      </c>
      <c r="E112" s="42" t="n">
        <v>0</v>
      </c>
      <c r="F112" s="37" t="n">
        <v>3417</v>
      </c>
      <c r="G112" s="68" t="n"/>
      <c r="H112" s="68">
        <f>E112*G112</f>
        <v/>
      </c>
      <c r="I112" s="68">
        <f>F112*G112</f>
        <v/>
      </c>
      <c r="J112" s="68">
        <f>SUM(H112:I112)</f>
        <v/>
      </c>
      <c r="K112" s="43" t="n"/>
    </row>
    <row r="113" hidden="1" ht="29" customHeight="1">
      <c r="A113" s="35" t="n">
        <v>105</v>
      </c>
      <c r="B113" s="35" t="inlineStr">
        <is>
          <t>AB-OF-SM-96D</t>
        </is>
      </c>
      <c r="C113" s="36" t="inlineStr">
        <is>
          <t>Pengadaan dan pemasangan air blown cable optik, single mode 96 core, g 652 d</t>
        </is>
      </c>
      <c r="D113" s="35" t="inlineStr">
        <is>
          <t>meter</t>
        </is>
      </c>
      <c r="E113" s="37" t="n">
        <v>33109</v>
      </c>
      <c r="F113" s="37" t="n">
        <v>3377</v>
      </c>
      <c r="G113" s="68" t="n"/>
      <c r="H113" s="68">
        <f>E113*G113</f>
        <v/>
      </c>
      <c r="I113" s="68">
        <f>F113*G113</f>
        <v/>
      </c>
      <c r="J113" s="68">
        <f>SUM(H113:I113)</f>
        <v/>
      </c>
      <c r="K113" s="43" t="n"/>
    </row>
    <row r="114" hidden="1" ht="29" customHeight="1">
      <c r="A114" s="35" t="n">
        <v>106</v>
      </c>
      <c r="B114" s="40" t="inlineStr">
        <is>
          <t>M-AB-OF-SM-96D</t>
        </is>
      </c>
      <c r="C114" s="36" t="inlineStr">
        <is>
          <t>Pengadaan dan pemasangan air blown cable optik, single mode 96 core, g 652 d</t>
        </is>
      </c>
      <c r="D114" s="35" t="inlineStr">
        <is>
          <t>meter</t>
        </is>
      </c>
      <c r="E114" s="37" t="n">
        <v>33109</v>
      </c>
      <c r="F114" s="42" t="n">
        <v>0</v>
      </c>
      <c r="G114" s="68" t="n"/>
      <c r="H114" s="68">
        <f>E114*G114</f>
        <v/>
      </c>
      <c r="I114" s="68">
        <f>F114*G114</f>
        <v/>
      </c>
      <c r="J114" s="68">
        <f>SUM(H114:I114)</f>
        <v/>
      </c>
      <c r="K114" s="43" t="n"/>
    </row>
    <row r="115" hidden="1" ht="29" customHeight="1">
      <c r="A115" s="35" t="n">
        <v>107</v>
      </c>
      <c r="B115" s="40" t="inlineStr">
        <is>
          <t>J-AB-OF-SM-96D</t>
        </is>
      </c>
      <c r="C115" s="36" t="inlineStr">
        <is>
          <t>Pengadaan dan pemasangan air blown cable optik, single mode 96 core, g 652 d</t>
        </is>
      </c>
      <c r="D115" s="35" t="inlineStr">
        <is>
          <t>meter</t>
        </is>
      </c>
      <c r="E115" s="42" t="n">
        <v>0</v>
      </c>
      <c r="F115" s="37" t="n">
        <v>3377</v>
      </c>
      <c r="G115" s="68" t="n"/>
      <c r="H115" s="68">
        <f>E115*G115</f>
        <v/>
      </c>
      <c r="I115" s="68">
        <f>F115*G115</f>
        <v/>
      </c>
      <c r="J115" s="68">
        <f>SUM(H115:I115)</f>
        <v/>
      </c>
      <c r="K115" s="43" t="n"/>
    </row>
    <row r="116" hidden="1" ht="29" customHeight="1">
      <c r="A116" s="35" t="n">
        <v>108</v>
      </c>
      <c r="B116" s="35" t="inlineStr">
        <is>
          <t>AB-OF-SM-144D</t>
        </is>
      </c>
      <c r="C116" s="36" t="inlineStr">
        <is>
          <t>Pengadaan dan pemasangan air blown cable optik, single mode 144 core, g 652 d</t>
        </is>
      </c>
      <c r="D116" s="35" t="inlineStr">
        <is>
          <t>meter</t>
        </is>
      </c>
      <c r="E116" s="37" t="n">
        <v>51071</v>
      </c>
      <c r="F116" s="37" t="n">
        <v>3859</v>
      </c>
      <c r="G116" s="68" t="n"/>
      <c r="H116" s="68">
        <f>E116*G116</f>
        <v/>
      </c>
      <c r="I116" s="68">
        <f>F116*G116</f>
        <v/>
      </c>
      <c r="J116" s="68">
        <f>SUM(H116:I116)</f>
        <v/>
      </c>
      <c r="K116" s="43" t="n"/>
    </row>
    <row r="117" hidden="1" ht="29" customHeight="1">
      <c r="A117" s="35" t="n">
        <v>109</v>
      </c>
      <c r="B117" s="40" t="inlineStr">
        <is>
          <t>M-AB-OF-SM-144D</t>
        </is>
      </c>
      <c r="C117" s="36" t="inlineStr">
        <is>
          <t>Pengadaan dan pemasangan air blown cable optik, single mode 144 core, g 652 d</t>
        </is>
      </c>
      <c r="D117" s="35" t="inlineStr">
        <is>
          <t>meter</t>
        </is>
      </c>
      <c r="E117" s="37" t="n">
        <v>51071</v>
      </c>
      <c r="F117" s="42" t="n">
        <v>0</v>
      </c>
      <c r="G117" s="68" t="n"/>
      <c r="H117" s="68">
        <f>E117*G117</f>
        <v/>
      </c>
      <c r="I117" s="68">
        <f>F117*G117</f>
        <v/>
      </c>
      <c r="J117" s="68">
        <f>SUM(H117:I117)</f>
        <v/>
      </c>
      <c r="K117" s="43" t="n"/>
    </row>
    <row r="118" hidden="1" ht="29" customHeight="1">
      <c r="A118" s="35" t="n">
        <v>110</v>
      </c>
      <c r="B118" s="40" t="inlineStr">
        <is>
          <t>J-AB-OF-SM-144D</t>
        </is>
      </c>
      <c r="C118" s="36" t="inlineStr">
        <is>
          <t>Pengadaan dan pemasangan air blown cable optik, single mode 144 core, g 652 d</t>
        </is>
      </c>
      <c r="D118" s="35" t="inlineStr">
        <is>
          <t>meter</t>
        </is>
      </c>
      <c r="E118" s="42" t="n">
        <v>0</v>
      </c>
      <c r="F118" s="37" t="n">
        <v>3859</v>
      </c>
      <c r="G118" s="68" t="n"/>
      <c r="H118" s="68">
        <f>E118*G118</f>
        <v/>
      </c>
      <c r="I118" s="68">
        <f>F118*G118</f>
        <v/>
      </c>
      <c r="J118" s="68">
        <f>SUM(H118:I118)</f>
        <v/>
      </c>
      <c r="K118" s="43" t="n"/>
    </row>
    <row r="119" hidden="1" ht="29" customHeight="1">
      <c r="A119" s="35" t="n">
        <v>111</v>
      </c>
      <c r="B119" s="35" t="inlineStr">
        <is>
          <t>AB-OF-SM-288D</t>
        </is>
      </c>
      <c r="C119" s="36" t="inlineStr">
        <is>
          <t>Pengadaan dan pemasangan air blown cable optik, single mode 288 core, g 652 d</t>
        </is>
      </c>
      <c r="D119" s="35" t="inlineStr">
        <is>
          <t>meter</t>
        </is>
      </c>
      <c r="E119" s="37" t="n">
        <v>97380</v>
      </c>
      <c r="F119" s="37" t="n">
        <v>4824</v>
      </c>
      <c r="G119" s="68" t="n"/>
      <c r="H119" s="68">
        <f>E119*G119</f>
        <v/>
      </c>
      <c r="I119" s="68">
        <f>F119*G119</f>
        <v/>
      </c>
      <c r="J119" s="68">
        <f>SUM(H119:I119)</f>
        <v/>
      </c>
      <c r="K119" s="43" t="n"/>
    </row>
    <row r="120" hidden="1" ht="29" customHeight="1">
      <c r="A120" s="35" t="n">
        <v>112</v>
      </c>
      <c r="B120" s="40" t="inlineStr">
        <is>
          <t>M-AB-OF-SM-288D</t>
        </is>
      </c>
      <c r="C120" s="36" t="inlineStr">
        <is>
          <t>Pengadaan dan pemasangan air blown cable optik, single mode 288 core, g 652 d</t>
        </is>
      </c>
      <c r="D120" s="35" t="inlineStr">
        <is>
          <t>meter</t>
        </is>
      </c>
      <c r="E120" s="37" t="n">
        <v>97380</v>
      </c>
      <c r="F120" s="42" t="n">
        <v>0</v>
      </c>
      <c r="G120" s="68" t="n"/>
      <c r="H120" s="68">
        <f>E120*G120</f>
        <v/>
      </c>
      <c r="I120" s="68">
        <f>F120*G120</f>
        <v/>
      </c>
      <c r="J120" s="68">
        <f>SUM(H120:I120)</f>
        <v/>
      </c>
      <c r="K120" s="43" t="n"/>
    </row>
    <row r="121" hidden="1" ht="29" customHeight="1">
      <c r="A121" s="35" t="n">
        <v>113</v>
      </c>
      <c r="B121" s="40" t="inlineStr">
        <is>
          <t>J-AB-OF-SM-288D</t>
        </is>
      </c>
      <c r="C121" s="36" t="inlineStr">
        <is>
          <t>Pengadaan dan pemasangan air blown cable optik, single mode 288 core, g 652 d</t>
        </is>
      </c>
      <c r="D121" s="35" t="inlineStr">
        <is>
          <t>meter</t>
        </is>
      </c>
      <c r="E121" s="42" t="n">
        <v>0</v>
      </c>
      <c r="F121" s="37" t="n">
        <v>4824</v>
      </c>
      <c r="G121" s="68" t="n"/>
      <c r="H121" s="68">
        <f>E121*G121</f>
        <v/>
      </c>
      <c r="I121" s="68">
        <f>F121*G121</f>
        <v/>
      </c>
      <c r="J121" s="68">
        <f>SUM(H121:I121)</f>
        <v/>
      </c>
      <c r="K121" s="43" t="n"/>
    </row>
    <row r="122" hidden="1" ht="29" customHeight="1">
      <c r="A122" s="35" t="n">
        <v>114</v>
      </c>
      <c r="B122" s="35" t="inlineStr">
        <is>
          <t>PC-APC-657-2</t>
        </is>
      </c>
      <c r="C122" s="36" t="inlineStr">
        <is>
          <t>Pengadaan dan pemasangan patch cord 2 meter, (fc/lc/sc-apc to fc/lc/sc-apc), g.657</t>
        </is>
      </c>
      <c r="D122" s="35" t="inlineStr">
        <is>
          <t>pcs</t>
        </is>
      </c>
      <c r="E122" s="37" t="n">
        <v>45720</v>
      </c>
      <c r="F122" s="37" t="n">
        <v>3036</v>
      </c>
      <c r="G122" s="68" t="n"/>
      <c r="H122" s="68">
        <f>E122*G122</f>
        <v/>
      </c>
      <c r="I122" s="68">
        <f>F122*G122</f>
        <v/>
      </c>
      <c r="J122" s="68">
        <f>SUM(H122:I122)</f>
        <v/>
      </c>
      <c r="K122" s="43" t="n"/>
    </row>
    <row r="123" hidden="1" ht="29" customHeight="1">
      <c r="A123" s="35" t="n">
        <v>115</v>
      </c>
      <c r="B123" s="40" t="inlineStr">
        <is>
          <t>M-PC-APC-657-2</t>
        </is>
      </c>
      <c r="C123" s="36" t="inlineStr">
        <is>
          <t>Pengadaan dan pemasangan patch cord 2 meter, (fc/lc/sc-apc to fc/lc/sc-apc), g.657</t>
        </is>
      </c>
      <c r="D123" s="35" t="inlineStr">
        <is>
          <t>pcs</t>
        </is>
      </c>
      <c r="E123" s="37" t="n">
        <v>45720</v>
      </c>
      <c r="F123" s="42" t="n">
        <v>0</v>
      </c>
      <c r="G123" s="68" t="n"/>
      <c r="H123" s="68">
        <f>E123*G123</f>
        <v/>
      </c>
      <c r="I123" s="68">
        <f>F123*G123</f>
        <v/>
      </c>
      <c r="J123" s="68">
        <f>SUM(H123:I123)</f>
        <v/>
      </c>
      <c r="K123" s="43" t="n"/>
    </row>
    <row r="124" hidden="1" ht="29" customHeight="1">
      <c r="A124" s="35" t="n">
        <v>116</v>
      </c>
      <c r="B124" s="40" t="inlineStr">
        <is>
          <t>J-PC-APC-657-2</t>
        </is>
      </c>
      <c r="C124" s="36" t="inlineStr">
        <is>
          <t>Pengadaan dan pemasangan patch cord 2 meter, (fc/lc/sc-apc to fc/lc/sc-apc), g.657</t>
        </is>
      </c>
      <c r="D124" s="35" t="inlineStr">
        <is>
          <t>pcs</t>
        </is>
      </c>
      <c r="E124" s="42" t="n">
        <v>0</v>
      </c>
      <c r="F124" s="37" t="n">
        <v>3036</v>
      </c>
      <c r="G124" s="68" t="n"/>
      <c r="H124" s="68">
        <f>E124*G124</f>
        <v/>
      </c>
      <c r="I124" s="68">
        <f>F124*G124</f>
        <v/>
      </c>
      <c r="J124" s="68">
        <f>SUM(H124:I124)</f>
        <v/>
      </c>
      <c r="K124" s="43" t="n"/>
    </row>
    <row r="125" ht="14.5" customHeight="1">
      <c r="A125" s="35" t="n">
        <v>117</v>
      </c>
      <c r="B125" s="35" t="inlineStr">
        <is>
          <t>PC-APC/UPC-657-A1</t>
        </is>
      </c>
      <c r="C125" s="36" t="inlineStr">
        <is>
          <t>Additional patch cord, g.657</t>
        </is>
      </c>
      <c r="D125" s="35" t="inlineStr">
        <is>
          <t>meter</t>
        </is>
      </c>
      <c r="E125" s="37" t="n">
        <v>5173</v>
      </c>
      <c r="F125" s="37" t="n">
        <v>1503</v>
      </c>
      <c r="G125" s="68" t="n">
        <v>18</v>
      </c>
      <c r="H125" s="68">
        <f>E125*G125</f>
        <v/>
      </c>
      <c r="I125" s="68">
        <f>F125*G125</f>
        <v/>
      </c>
      <c r="J125" s="68">
        <f>SUM(H125:I125)</f>
        <v/>
      </c>
      <c r="K125" s="43" t="n"/>
    </row>
    <row r="126" hidden="1" ht="14.5" customHeight="1">
      <c r="A126" s="35" t="n">
        <v>118</v>
      </c>
      <c r="B126" s="40" t="inlineStr">
        <is>
          <t>M-PC-APC/UPC-657-A1</t>
        </is>
      </c>
      <c r="C126" s="36" t="inlineStr">
        <is>
          <t>Additional patch cord, g.657</t>
        </is>
      </c>
      <c r="D126" s="35" t="inlineStr">
        <is>
          <t>meter</t>
        </is>
      </c>
      <c r="E126" s="37" t="n">
        <v>5173</v>
      </c>
      <c r="F126" s="42" t="n">
        <v>0</v>
      </c>
      <c r="G126" s="68" t="n"/>
      <c r="H126" s="68">
        <f>E126*G126</f>
        <v/>
      </c>
      <c r="I126" s="68">
        <f>F126*G126</f>
        <v/>
      </c>
      <c r="J126" s="68">
        <f>SUM(H126:I126)</f>
        <v/>
      </c>
      <c r="K126" s="39" t="n"/>
      <c r="L126" s="11" t="n">
        <v>0</v>
      </c>
    </row>
    <row r="127" hidden="1" ht="14.5" customHeight="1">
      <c r="A127" s="35" t="n">
        <v>119</v>
      </c>
      <c r="B127" s="40" t="inlineStr">
        <is>
          <t>J-PC-APC/UPC-657-A1</t>
        </is>
      </c>
      <c r="C127" s="36" t="inlineStr">
        <is>
          <t>Additional patch cord, g.657</t>
        </is>
      </c>
      <c r="D127" s="35" t="inlineStr">
        <is>
          <t>meter</t>
        </is>
      </c>
      <c r="E127" s="42" t="n">
        <v>0</v>
      </c>
      <c r="F127" s="37" t="n">
        <v>1503</v>
      </c>
      <c r="G127" s="68" t="n"/>
      <c r="H127" s="68">
        <f>E127*G127</f>
        <v/>
      </c>
      <c r="I127" s="68">
        <f>F127*G127</f>
        <v/>
      </c>
      <c r="J127" s="68">
        <f>SUM(H127:I127)</f>
        <v/>
      </c>
      <c r="K127" s="43" t="n"/>
    </row>
    <row r="128" ht="29" customHeight="1">
      <c r="A128" s="35" t="n">
        <v>120</v>
      </c>
      <c r="B128" s="35" t="inlineStr">
        <is>
          <t>PC-UPC-657-2</t>
        </is>
      </c>
      <c r="C128" s="36" t="inlineStr">
        <is>
          <t>Pengadaan dan pemasangan patch cord 2 meter, (fc/lc/sc-upc to fc/lc/sc-upc), g.657</t>
        </is>
      </c>
      <c r="D128" s="35" t="inlineStr">
        <is>
          <t>pcs</t>
        </is>
      </c>
      <c r="E128" s="37" t="n">
        <v>37844</v>
      </c>
      <c r="F128" s="37" t="n">
        <v>3036</v>
      </c>
      <c r="G128" s="68" t="n">
        <v>1</v>
      </c>
      <c r="H128" s="68">
        <f>E128*G128</f>
        <v/>
      </c>
      <c r="I128" s="68">
        <f>F128*G128</f>
        <v/>
      </c>
      <c r="J128" s="68">
        <f>SUM(H128:I128)</f>
        <v/>
      </c>
      <c r="K128" s="39" t="n"/>
      <c r="L128" s="11" t="n">
        <v>0</v>
      </c>
    </row>
    <row r="129" hidden="1" ht="29" customHeight="1">
      <c r="A129" s="35" t="n">
        <v>121</v>
      </c>
      <c r="B129" s="40" t="inlineStr">
        <is>
          <t>M-PC-UPC-657-2</t>
        </is>
      </c>
      <c r="C129" s="36" t="inlineStr">
        <is>
          <t>Pengadaan dan pemasangan patch cord 2 meter, (fc/lc/sc-upc to fc/lc/sc-upc), g.657</t>
        </is>
      </c>
      <c r="D129" s="35" t="inlineStr">
        <is>
          <t>pcs</t>
        </is>
      </c>
      <c r="E129" s="37" t="n">
        <v>37844</v>
      </c>
      <c r="F129" s="42" t="n">
        <v>0</v>
      </c>
      <c r="G129" s="68" t="n"/>
      <c r="H129" s="68">
        <f>E129*G129</f>
        <v/>
      </c>
      <c r="I129" s="68">
        <f>F129*G129</f>
        <v/>
      </c>
      <c r="J129" s="68">
        <f>SUM(H129:I129)</f>
        <v/>
      </c>
      <c r="K129" s="43" t="n"/>
    </row>
    <row r="130" hidden="1" ht="29" customHeight="1">
      <c r="A130" s="35" t="n">
        <v>122</v>
      </c>
      <c r="B130" s="40" t="inlineStr">
        <is>
          <t>J-PC-UPC-657-2</t>
        </is>
      </c>
      <c r="C130" s="36" t="inlineStr">
        <is>
          <t>Pengadaan dan pemasangan patch cord 2 meter, (fc/lc/sc-upc to fc/lc/sc-upc), g.657</t>
        </is>
      </c>
      <c r="D130" s="35" t="inlineStr">
        <is>
          <t>pcs</t>
        </is>
      </c>
      <c r="E130" s="42" t="n">
        <v>0</v>
      </c>
      <c r="F130" s="37" t="n">
        <v>3036</v>
      </c>
      <c r="G130" s="68" t="n"/>
      <c r="H130" s="68">
        <f>E130*G130</f>
        <v/>
      </c>
      <c r="I130" s="68">
        <f>F130*G130</f>
        <v/>
      </c>
      <c r="J130" s="68">
        <f>SUM(H130:I130)</f>
        <v/>
      </c>
      <c r="K130" s="39" t="n"/>
      <c r="L130" s="11" t="n">
        <v>0</v>
      </c>
    </row>
    <row r="131" hidden="1" ht="29" customHeight="1">
      <c r="A131" s="35" t="n">
        <v>123</v>
      </c>
      <c r="B131" s="35" t="inlineStr">
        <is>
          <t>PC-APC-655-2</t>
        </is>
      </c>
      <c r="C131" s="36" t="inlineStr">
        <is>
          <t>Pengadaan dan pemasangan patch cord 2 meter, (fc/lc/sc-apc to fc/lc/sc-apc), g.655c</t>
        </is>
      </c>
      <c r="D131" s="35" t="inlineStr">
        <is>
          <t>pcs</t>
        </is>
      </c>
      <c r="E131" s="37" t="n">
        <v>36161</v>
      </c>
      <c r="F131" s="37" t="n">
        <v>3036</v>
      </c>
      <c r="G131" s="68" t="n"/>
      <c r="H131" s="68">
        <f>E131*G131</f>
        <v/>
      </c>
      <c r="I131" s="68">
        <f>F131*G131</f>
        <v/>
      </c>
      <c r="J131" s="68">
        <f>SUM(H131:I131)</f>
        <v/>
      </c>
      <c r="K131" s="43" t="n"/>
    </row>
    <row r="132" hidden="1" ht="29" customHeight="1">
      <c r="A132" s="35" t="n">
        <v>124</v>
      </c>
      <c r="B132" s="40" t="inlineStr">
        <is>
          <t>M-PC-APC-655-2</t>
        </is>
      </c>
      <c r="C132" s="36" t="inlineStr">
        <is>
          <t>Pengadaan dan pemasangan patch cord 2 meter, (fc/lc/sc-apc to fc/lc/sc-apc), g.655c</t>
        </is>
      </c>
      <c r="D132" s="35" t="inlineStr">
        <is>
          <t>pcs</t>
        </is>
      </c>
      <c r="E132" s="37" t="n">
        <v>36161</v>
      </c>
      <c r="F132" s="42" t="n">
        <v>0</v>
      </c>
      <c r="G132" s="68" t="n"/>
      <c r="H132" s="68">
        <f>E132*G132</f>
        <v/>
      </c>
      <c r="I132" s="68">
        <f>F132*G132</f>
        <v/>
      </c>
      <c r="J132" s="68">
        <f>SUM(H132:I132)</f>
        <v/>
      </c>
      <c r="K132" s="39" t="n"/>
    </row>
    <row r="133" hidden="1" ht="29" customHeight="1">
      <c r="A133" s="35" t="n">
        <v>125</v>
      </c>
      <c r="B133" s="40" t="inlineStr">
        <is>
          <t>J-PC-APC-655-2</t>
        </is>
      </c>
      <c r="C133" s="36" t="inlineStr">
        <is>
          <t>Pengadaan dan pemasangan patch cord 2 meter, (fc/lc/sc-apc to fc/lc/sc-apc), g.655c</t>
        </is>
      </c>
      <c r="D133" s="35" t="inlineStr">
        <is>
          <t>pcs</t>
        </is>
      </c>
      <c r="E133" s="42" t="n">
        <v>0</v>
      </c>
      <c r="F133" s="37" t="n">
        <v>3036</v>
      </c>
      <c r="G133" s="68" t="n"/>
      <c r="H133" s="68">
        <f>E133*G133</f>
        <v/>
      </c>
      <c r="I133" s="68">
        <f>F133*G133</f>
        <v/>
      </c>
      <c r="J133" s="68">
        <f>SUM(H133:I133)</f>
        <v/>
      </c>
      <c r="K133" s="43" t="n"/>
    </row>
    <row r="134" hidden="1" ht="14.5" customHeight="1">
      <c r="A134" s="35" t="n">
        <v>126</v>
      </c>
      <c r="B134" s="35" t="inlineStr">
        <is>
          <t>PC-APC/UPC-655-A1</t>
        </is>
      </c>
      <c r="C134" s="36" t="inlineStr">
        <is>
          <t>Additional patch cord, g.655</t>
        </is>
      </c>
      <c r="D134" s="35" t="inlineStr">
        <is>
          <t>meter</t>
        </is>
      </c>
      <c r="E134" s="37" t="n">
        <v>4092</v>
      </c>
      <c r="F134" s="37" t="n">
        <v>1503</v>
      </c>
      <c r="G134" s="68" t="n"/>
      <c r="H134" s="68">
        <f>E134*G134</f>
        <v/>
      </c>
      <c r="I134" s="68">
        <f>F134*G134</f>
        <v/>
      </c>
      <c r="J134" s="68">
        <f>SUM(H134:I134)</f>
        <v/>
      </c>
      <c r="K134" s="43" t="n"/>
    </row>
    <row r="135" hidden="1" ht="14.5" customHeight="1">
      <c r="A135" s="35" t="n">
        <v>127</v>
      </c>
      <c r="B135" s="40" t="inlineStr">
        <is>
          <t>M-PC-APC/UPC-655-A1</t>
        </is>
      </c>
      <c r="C135" s="36" t="inlineStr">
        <is>
          <t>Additional patch cord, g.655</t>
        </is>
      </c>
      <c r="D135" s="35" t="inlineStr">
        <is>
          <t>meter</t>
        </is>
      </c>
      <c r="E135" s="37" t="n">
        <v>4092</v>
      </c>
      <c r="F135" s="42" t="n">
        <v>0</v>
      </c>
      <c r="G135" s="68" t="n"/>
      <c r="H135" s="68">
        <f>E135*G135</f>
        <v/>
      </c>
      <c r="I135" s="68">
        <f>F135*G135</f>
        <v/>
      </c>
      <c r="J135" s="68">
        <f>SUM(H135:I135)</f>
        <v/>
      </c>
      <c r="K135" s="43" t="n"/>
    </row>
    <row r="136" hidden="1" ht="14.5" customHeight="1">
      <c r="A136" s="35" t="n">
        <v>128</v>
      </c>
      <c r="B136" s="40" t="inlineStr">
        <is>
          <t>J-PC-APC/UPC-655-A1</t>
        </is>
      </c>
      <c r="C136" s="36" t="inlineStr">
        <is>
          <t>Additional patch cord, g.655</t>
        </is>
      </c>
      <c r="D136" s="35" t="inlineStr">
        <is>
          <t>meter</t>
        </is>
      </c>
      <c r="E136" s="42" t="n">
        <v>0</v>
      </c>
      <c r="F136" s="37" t="n">
        <v>1503</v>
      </c>
      <c r="G136" s="68" t="n"/>
      <c r="H136" s="68">
        <f>E136*G136</f>
        <v/>
      </c>
      <c r="I136" s="68">
        <f>F136*G136</f>
        <v/>
      </c>
      <c r="J136" s="68">
        <f>SUM(H136:I136)</f>
        <v/>
      </c>
      <c r="K136" s="43" t="n"/>
    </row>
    <row r="137" hidden="1" ht="29" customHeight="1">
      <c r="A137" s="35" t="n">
        <v>129</v>
      </c>
      <c r="B137" s="35" t="inlineStr">
        <is>
          <t>PC-UPC-655-2</t>
        </is>
      </c>
      <c r="C137" s="36" t="inlineStr">
        <is>
          <t>Pengadaan dan pemasangan patch cord 2 meter, (fc/lc/sc-upc to fc/lc/sc-upc), g.655c</t>
        </is>
      </c>
      <c r="D137" s="35" t="inlineStr">
        <is>
          <t>pcs</t>
        </is>
      </c>
      <c r="E137" s="37" t="n">
        <v>36161</v>
      </c>
      <c r="F137" s="37" t="n">
        <v>3036</v>
      </c>
      <c r="G137" s="68" t="n"/>
      <c r="H137" s="68">
        <f>E137*G137</f>
        <v/>
      </c>
      <c r="I137" s="68">
        <f>F137*G137</f>
        <v/>
      </c>
      <c r="J137" s="68">
        <f>SUM(H137:I137)</f>
        <v/>
      </c>
      <c r="K137" s="39" t="n"/>
      <c r="L137" s="11" t="n">
        <v>0</v>
      </c>
    </row>
    <row r="138" hidden="1" ht="29" customHeight="1">
      <c r="A138" s="35" t="n">
        <v>130</v>
      </c>
      <c r="B138" s="40" t="inlineStr">
        <is>
          <t>M-PC-UPC-655-2</t>
        </is>
      </c>
      <c r="C138" s="36" t="inlineStr">
        <is>
          <t>Pengadaan dan pemasangan patch cord 2 meter, (fc/lc/sc-upc to fc/lc/sc-upc), g.655c</t>
        </is>
      </c>
      <c r="D138" s="35" t="inlineStr">
        <is>
          <t>pcs</t>
        </is>
      </c>
      <c r="E138" s="37" t="n">
        <v>36161</v>
      </c>
      <c r="F138" s="42" t="n">
        <v>0</v>
      </c>
      <c r="G138" s="68" t="n"/>
      <c r="H138" s="68">
        <f>E138*G138</f>
        <v/>
      </c>
      <c r="I138" s="68">
        <f>F138*G138</f>
        <v/>
      </c>
      <c r="J138" s="68">
        <f>SUM(H138:I138)</f>
        <v/>
      </c>
      <c r="K138" s="43" t="n"/>
    </row>
    <row r="139" hidden="1" ht="29" customHeight="1">
      <c r="A139" s="35" t="n">
        <v>131</v>
      </c>
      <c r="B139" s="40" t="inlineStr">
        <is>
          <t>J-PC-UPC-655-2</t>
        </is>
      </c>
      <c r="C139" s="36" t="inlineStr">
        <is>
          <t>Pengadaan dan pemasangan patch cord 2 meter, (fc/lc/sc-upc to fc/lc/sc-upc), g.655c</t>
        </is>
      </c>
      <c r="D139" s="35" t="inlineStr">
        <is>
          <t>pcs</t>
        </is>
      </c>
      <c r="E139" s="42" t="n">
        <v>0</v>
      </c>
      <c r="F139" s="37" t="n">
        <v>3036</v>
      </c>
      <c r="G139" s="68" t="n"/>
      <c r="H139" s="68">
        <f>E139*G139</f>
        <v/>
      </c>
      <c r="I139" s="68">
        <f>F139*G139</f>
        <v/>
      </c>
      <c r="J139" s="68">
        <f>SUM(H139:I139)</f>
        <v/>
      </c>
      <c r="K139" s="43" t="n"/>
    </row>
    <row r="140" hidden="1" ht="29" customHeight="1">
      <c r="A140" s="35" t="n">
        <v>132</v>
      </c>
      <c r="B140" s="35" t="inlineStr">
        <is>
          <t>PC-APC-652-2</t>
        </is>
      </c>
      <c r="C140" s="36" t="inlineStr">
        <is>
          <t>Pengadaan dan pemasangan patch cord 2 meter, (fc/lc/sc-apc to fc/lc/sc-apc), g.652 d</t>
        </is>
      </c>
      <c r="D140" s="35" t="inlineStr">
        <is>
          <t>pcs</t>
        </is>
      </c>
      <c r="E140" s="37" t="n">
        <v>42765</v>
      </c>
      <c r="F140" s="37" t="n">
        <v>3036</v>
      </c>
      <c r="G140" s="68" t="n"/>
      <c r="H140" s="68">
        <f>E140*G140</f>
        <v/>
      </c>
      <c r="I140" s="68">
        <f>F140*G140</f>
        <v/>
      </c>
      <c r="J140" s="68">
        <f>SUM(H140:I140)</f>
        <v/>
      </c>
      <c r="K140" s="43" t="n"/>
    </row>
    <row r="141" hidden="1" ht="29" customHeight="1">
      <c r="A141" s="35" t="n">
        <v>133</v>
      </c>
      <c r="B141" s="40" t="inlineStr">
        <is>
          <t>M-PC-APC-652-2</t>
        </is>
      </c>
      <c r="C141" s="36" t="inlineStr">
        <is>
          <t>Pengadaan dan pemasangan patch cord 2 meter, (fc/lc/sc-apc to fc/lc/sc-apc), g.652 d</t>
        </is>
      </c>
      <c r="D141" s="35" t="inlineStr">
        <is>
          <t>pcs</t>
        </is>
      </c>
      <c r="E141" s="37" t="n">
        <v>42765</v>
      </c>
      <c r="F141" s="42" t="n">
        <v>0</v>
      </c>
      <c r="G141" s="68" t="n"/>
      <c r="H141" s="68">
        <f>E141*G141</f>
        <v/>
      </c>
      <c r="I141" s="68">
        <f>F141*G141</f>
        <v/>
      </c>
      <c r="J141" s="68">
        <f>SUM(H141:I141)</f>
        <v/>
      </c>
      <c r="K141" s="39" t="n"/>
    </row>
    <row r="142" hidden="1" ht="29" customHeight="1">
      <c r="A142" s="35" t="n">
        <v>134</v>
      </c>
      <c r="B142" s="40" t="inlineStr">
        <is>
          <t>J-PC-APC-652-2</t>
        </is>
      </c>
      <c r="C142" s="36" t="inlineStr">
        <is>
          <t>Pengadaan dan pemasangan patch cord 2 meter, (fc/lc/sc-apc to fc/lc/sc-apc), g.652 d</t>
        </is>
      </c>
      <c r="D142" s="35" t="inlineStr">
        <is>
          <t>pcs</t>
        </is>
      </c>
      <c r="E142" s="42" t="n">
        <v>0</v>
      </c>
      <c r="F142" s="37" t="n">
        <v>3036</v>
      </c>
      <c r="G142" s="68" t="n"/>
      <c r="H142" s="68">
        <f>E142*G142</f>
        <v/>
      </c>
      <c r="I142" s="68">
        <f>F142*G142</f>
        <v/>
      </c>
      <c r="J142" s="68">
        <f>SUM(H142:I142)</f>
        <v/>
      </c>
      <c r="K142" s="43" t="n"/>
    </row>
    <row r="143" hidden="1" ht="14.5" customHeight="1">
      <c r="A143" s="35" t="n">
        <v>135</v>
      </c>
      <c r="B143" s="35" t="inlineStr">
        <is>
          <t>PC-APC/UPC-652-A1</t>
        </is>
      </c>
      <c r="C143" s="36" t="inlineStr">
        <is>
          <t>Additional patch cord, g.652d</t>
        </is>
      </c>
      <c r="D143" s="35" t="inlineStr">
        <is>
          <t>meter</t>
        </is>
      </c>
      <c r="E143" s="37" t="n">
        <v>3677</v>
      </c>
      <c r="F143" s="37" t="n">
        <v>1558</v>
      </c>
      <c r="G143" s="68" t="n"/>
      <c r="H143" s="68">
        <f>E143*G143</f>
        <v/>
      </c>
      <c r="I143" s="68">
        <f>F143*G143</f>
        <v/>
      </c>
      <c r="J143" s="68">
        <f>SUM(H143:I143)</f>
        <v/>
      </c>
      <c r="K143" s="39" t="n"/>
      <c r="L143" s="11" t="n">
        <v>0</v>
      </c>
    </row>
    <row r="144" hidden="1" ht="14.5" customHeight="1">
      <c r="A144" s="35" t="n">
        <v>136</v>
      </c>
      <c r="B144" s="40" t="inlineStr">
        <is>
          <t>M-PC-APC/UPC-652-A1</t>
        </is>
      </c>
      <c r="C144" s="36" t="inlineStr">
        <is>
          <t>Additional patch cord, g.652d</t>
        </is>
      </c>
      <c r="D144" s="35" t="inlineStr">
        <is>
          <t>meter</t>
        </is>
      </c>
      <c r="E144" s="37" t="n">
        <v>3677</v>
      </c>
      <c r="F144" s="42" t="n">
        <v>0</v>
      </c>
      <c r="G144" s="68" t="n"/>
      <c r="H144" s="68">
        <f>E144*G144</f>
        <v/>
      </c>
      <c r="I144" s="68">
        <f>F144*G144</f>
        <v/>
      </c>
      <c r="J144" s="68">
        <f>SUM(H144:I144)</f>
        <v/>
      </c>
      <c r="K144" s="43" t="n"/>
    </row>
    <row r="145" hidden="1" ht="14.5" customHeight="1">
      <c r="A145" s="35" t="n">
        <v>137</v>
      </c>
      <c r="B145" s="40" t="inlineStr">
        <is>
          <t>J-PC-APC/UPC-652-A1</t>
        </is>
      </c>
      <c r="C145" s="36" t="inlineStr">
        <is>
          <t>Additional patch cord, g.652d</t>
        </is>
      </c>
      <c r="D145" s="35" t="inlineStr">
        <is>
          <t>meter</t>
        </is>
      </c>
      <c r="E145" s="42" t="n">
        <v>0</v>
      </c>
      <c r="F145" s="37" t="n">
        <v>1558</v>
      </c>
      <c r="G145" s="68" t="n"/>
      <c r="H145" s="68">
        <f>E145*G145</f>
        <v/>
      </c>
      <c r="I145" s="68">
        <f>F145*G145</f>
        <v/>
      </c>
      <c r="J145" s="68">
        <f>SUM(H145:I145)</f>
        <v/>
      </c>
      <c r="K145" s="39" t="n"/>
    </row>
    <row r="146" hidden="1" ht="29" customHeight="1">
      <c r="A146" s="35" t="n">
        <v>138</v>
      </c>
      <c r="B146" s="35" t="inlineStr">
        <is>
          <t>PC-UPC-652-2</t>
        </is>
      </c>
      <c r="C146" s="36" t="inlineStr">
        <is>
          <t>Pengadaan dan pemasangan patch cord 2 meter, (fc/lc/sc-upc to fc/lc/sc-upc), g.652d</t>
        </is>
      </c>
      <c r="D146" s="35" t="inlineStr">
        <is>
          <t>pcs</t>
        </is>
      </c>
      <c r="E146" s="37" t="n">
        <v>33002</v>
      </c>
      <c r="F146" s="37" t="n">
        <v>3145</v>
      </c>
      <c r="G146" s="68" t="n"/>
      <c r="H146" s="68">
        <f>E146*G146</f>
        <v/>
      </c>
      <c r="I146" s="68">
        <f>F146*G146</f>
        <v/>
      </c>
      <c r="J146" s="68">
        <f>SUM(H146:I146)</f>
        <v/>
      </c>
      <c r="K146" s="43" t="n"/>
    </row>
    <row r="147" hidden="1" ht="29" customHeight="1">
      <c r="A147" s="35" t="n">
        <v>139</v>
      </c>
      <c r="B147" s="40" t="inlineStr">
        <is>
          <t>M-PC-UPC-652-2</t>
        </is>
      </c>
      <c r="C147" s="36" t="inlineStr">
        <is>
          <t>Pengadaan dan pemasangan patch cord 2 meter, (fc/lc/sc-upc to fc/lc/sc-upc), g.652d</t>
        </is>
      </c>
      <c r="D147" s="35" t="inlineStr">
        <is>
          <t>pcs</t>
        </is>
      </c>
      <c r="E147" s="37" t="n">
        <v>33002</v>
      </c>
      <c r="F147" s="42" t="n">
        <v>0</v>
      </c>
      <c r="G147" s="68" t="n"/>
      <c r="H147" s="68">
        <f>E147*G147</f>
        <v/>
      </c>
      <c r="I147" s="68">
        <f>F147*G147</f>
        <v/>
      </c>
      <c r="J147" s="68">
        <f>SUM(H147:I147)</f>
        <v/>
      </c>
      <c r="K147" s="39" t="n"/>
    </row>
    <row r="148" hidden="1" ht="29" customHeight="1">
      <c r="A148" s="35" t="n">
        <v>140</v>
      </c>
      <c r="B148" s="40" t="inlineStr">
        <is>
          <t>J-PC-UPC-652-2</t>
        </is>
      </c>
      <c r="C148" s="36" t="inlineStr">
        <is>
          <t>Pengadaan dan pemasangan patch cord 2 meter, (fc/lc/sc-upc to fc/lc/sc-upc), g.652d</t>
        </is>
      </c>
      <c r="D148" s="35" t="inlineStr">
        <is>
          <t>pcs</t>
        </is>
      </c>
      <c r="E148" s="42" t="n">
        <v>0</v>
      </c>
      <c r="F148" s="37" t="n">
        <v>3145</v>
      </c>
      <c r="G148" s="68" t="n"/>
      <c r="H148" s="68">
        <f>E148*G148</f>
        <v/>
      </c>
      <c r="I148" s="68">
        <f>F148*G148</f>
        <v/>
      </c>
      <c r="J148" s="68">
        <f>SUM(H148:I148)</f>
        <v/>
      </c>
      <c r="K148" s="43" t="n"/>
    </row>
    <row r="149" hidden="1" ht="43.5" customHeight="1">
      <c r="A149" s="35" t="n">
        <v>141</v>
      </c>
      <c r="B149" s="35" t="inlineStr">
        <is>
          <t>ODC-C-48</t>
        </is>
      </c>
      <c r="C149" s="36" t="inlineStr">
        <is>
          <t>Pengadaan dan pemasangan odc-pole (outdoor) dengan space untuk spliter modular termasuk material adaptor sc kap 48 core, berikut pelabelan</t>
        </is>
      </c>
      <c r="D149" s="35" t="inlineStr">
        <is>
          <t>pcs</t>
        </is>
      </c>
      <c r="E149" s="37" t="n">
        <v>4787934</v>
      </c>
      <c r="F149" s="37" t="n">
        <v>4175600</v>
      </c>
      <c r="G149" s="68" t="n"/>
      <c r="H149" s="68">
        <f>E149*G149</f>
        <v/>
      </c>
      <c r="I149" s="68">
        <f>F149*G149</f>
        <v/>
      </c>
      <c r="J149" s="68">
        <f>SUM(H149:I149)</f>
        <v/>
      </c>
      <c r="K149" s="43" t="n"/>
    </row>
    <row r="150" hidden="1" ht="43.5" customHeight="1">
      <c r="A150" s="35" t="n">
        <v>142</v>
      </c>
      <c r="B150" s="40" t="inlineStr">
        <is>
          <t>M-ODC-C-48</t>
        </is>
      </c>
      <c r="C150" s="36" t="inlineStr">
        <is>
          <t>Pengadaan dan pemasangan odc-pole (outdoor) dengan space untuk spliter modular termasuk material adaptor sc kap 48 core, berikut pelabelan</t>
        </is>
      </c>
      <c r="D150" s="35" t="inlineStr">
        <is>
          <t>pcs</t>
        </is>
      </c>
      <c r="E150" s="37" t="n">
        <v>4787934</v>
      </c>
      <c r="F150" s="42" t="n">
        <v>0</v>
      </c>
      <c r="G150" s="68" t="n"/>
      <c r="H150" s="68">
        <f>E150*G150</f>
        <v/>
      </c>
      <c r="I150" s="68">
        <f>F150*G150</f>
        <v/>
      </c>
      <c r="J150" s="68">
        <f>SUM(H150:I150)</f>
        <v/>
      </c>
      <c r="K150" s="43" t="n"/>
    </row>
    <row r="151" hidden="1" ht="43.5" customFormat="1" customHeight="1" s="2">
      <c r="A151" s="35" t="n">
        <v>143</v>
      </c>
      <c r="B151" s="40" t="inlineStr">
        <is>
          <t>J-ODC-C-48</t>
        </is>
      </c>
      <c r="C151" s="36" t="inlineStr">
        <is>
          <t>Pengadaan dan pemasangan odc-pole (outdoor) dengan space untuk spliter modular termasuk material adaptor sc kap 48 core, berikut pelabelan</t>
        </is>
      </c>
      <c r="D151" s="35" t="inlineStr">
        <is>
          <t>pcs</t>
        </is>
      </c>
      <c r="E151" s="42" t="n">
        <v>0</v>
      </c>
      <c r="F151" s="37" t="n">
        <v>4175600</v>
      </c>
      <c r="G151" s="68" t="n"/>
      <c r="H151" s="68">
        <f>E151*G151</f>
        <v/>
      </c>
      <c r="I151" s="68">
        <f>F151*G151</f>
        <v/>
      </c>
      <c r="J151" s="68">
        <f>SUM(H151:I151)</f>
        <v/>
      </c>
      <c r="K151" s="45" t="n"/>
      <c r="L151" s="11" t="n"/>
      <c r="M151" s="12" t="n"/>
      <c r="N151" s="13" t="n"/>
      <c r="O151" s="13" t="n"/>
      <c r="P151" s="13" t="n"/>
      <c r="Q151" s="13" t="n"/>
      <c r="R151" s="13" t="n"/>
      <c r="S151" s="13" t="n"/>
      <c r="T151" s="13" t="n"/>
      <c r="U151" s="13" t="n"/>
      <c r="V151" s="13" t="n"/>
      <c r="W151" s="13" t="n"/>
      <c r="X151" s="13" t="n"/>
    </row>
    <row r="152" hidden="1" ht="58" customFormat="1" customHeight="1" s="3">
      <c r="A152" s="35" t="n">
        <v>144</v>
      </c>
      <c r="B152" s="35" t="inlineStr">
        <is>
          <t>ODC-C-96</t>
        </is>
      </c>
      <c r="C152" s="36" t="inlineStr">
        <is>
          <t>Pengadaan dan pemasangan kabinet odc (outdoor) kap 96 core dengan space untuk spliter modular termasuk material adaptor sc, pigtail, pondasi berlapis keramik, lantai kerja keramik, patok pengaman (5 buah), berikut pelabelan</t>
        </is>
      </c>
      <c r="D152" s="35" t="inlineStr">
        <is>
          <t>pcs</t>
        </is>
      </c>
      <c r="E152" s="37" t="n">
        <v>9099000</v>
      </c>
      <c r="F152" s="37" t="n">
        <v>4699000</v>
      </c>
      <c r="G152" s="68" t="n"/>
      <c r="H152" s="68">
        <f>E152*G152</f>
        <v/>
      </c>
      <c r="I152" s="68">
        <f>F152*G152</f>
        <v/>
      </c>
      <c r="J152" s="68">
        <f>SUM(H152:I152)</f>
        <v/>
      </c>
      <c r="K152" s="39" t="n"/>
      <c r="L152" s="11" t="n"/>
      <c r="M152" s="12" t="n"/>
      <c r="N152" s="12" t="n"/>
      <c r="O152" s="12" t="n"/>
      <c r="P152" s="12" t="n"/>
      <c r="Q152" s="12" t="n"/>
      <c r="R152" s="12" t="n"/>
      <c r="S152" s="12" t="n"/>
      <c r="T152" s="12" t="n"/>
      <c r="U152" s="12" t="n"/>
      <c r="V152" s="12" t="n"/>
      <c r="W152" s="12" t="n"/>
      <c r="X152" s="12" t="n"/>
    </row>
    <row r="153" hidden="1" ht="58" customHeight="1">
      <c r="A153" s="35" t="n">
        <v>145</v>
      </c>
      <c r="B153" s="40" t="inlineStr">
        <is>
          <t>M-ODC-C-96</t>
        </is>
      </c>
      <c r="C153" s="36" t="inlineStr">
        <is>
          <t>Pengadaan dan pemasangan kabinet odc (outdoor) kap 96 core dengan space untuk spliter modular termasuk material adaptor sc, pigtail, pondasi berlapis keramik, lantai kerja keramik, patok pengaman (5 buah), berikut pelabelan</t>
        </is>
      </c>
      <c r="D153" s="35" t="inlineStr">
        <is>
          <t>pcs</t>
        </is>
      </c>
      <c r="E153" s="37" t="n">
        <v>9099000</v>
      </c>
      <c r="F153" s="42" t="n">
        <v>0</v>
      </c>
      <c r="G153" s="68" t="n"/>
      <c r="H153" s="68">
        <f>E153*G153</f>
        <v/>
      </c>
      <c r="I153" s="68">
        <f>F153*G153</f>
        <v/>
      </c>
      <c r="J153" s="68">
        <f>SUM(H153:I153)</f>
        <v/>
      </c>
      <c r="K153" s="39" t="n"/>
      <c r="L153" s="11" t="n">
        <v>0</v>
      </c>
    </row>
    <row r="154" hidden="1" ht="58" customHeight="1">
      <c r="A154" s="35" t="n">
        <v>146</v>
      </c>
      <c r="B154" s="40" t="inlineStr">
        <is>
          <t>J-ODC-C-96</t>
        </is>
      </c>
      <c r="C154" s="36" t="inlineStr">
        <is>
          <t>Pengadaan dan pemasangan kabinet odc (outdoor) kap 96 core dengan space untuk spliter modular termasuk material adaptor sc, pigtail, pondasi berlapis keramik, lantai kerja keramik, patok pengaman (5 buah), berikut pelabelan</t>
        </is>
      </c>
      <c r="D154" s="35" t="inlineStr">
        <is>
          <t>pcs</t>
        </is>
      </c>
      <c r="E154" s="42" t="n">
        <v>0</v>
      </c>
      <c r="F154" s="37" t="n">
        <v>4699000</v>
      </c>
      <c r="G154" s="68" t="n"/>
      <c r="H154" s="68">
        <f>E154*G154</f>
        <v/>
      </c>
      <c r="I154" s="68">
        <f>F154*G154</f>
        <v/>
      </c>
      <c r="J154" s="68">
        <f>SUM(H154:I154)</f>
        <v/>
      </c>
      <c r="K154" s="39" t="n"/>
    </row>
    <row r="155" hidden="1" ht="58" customHeight="1">
      <c r="A155" s="35" t="n">
        <v>147</v>
      </c>
      <c r="B155" s="35" t="inlineStr">
        <is>
          <t>ODC-C-144</t>
        </is>
      </c>
      <c r="C155" s="36" t="inlineStr">
        <is>
          <t>Pengadaan dan pemasangan kabinet odc (outdoor) kap 144 core dengan space untuk spliter modular termasuk material adaptor sc, pigtail, pondasi berlapis keramik, lantai kerja keramik, patok pengaman (5 buah), berikut pelabelan</t>
        </is>
      </c>
      <c r="D155" s="35" t="inlineStr">
        <is>
          <t>pcs</t>
        </is>
      </c>
      <c r="E155" s="37" t="n">
        <v>13366566</v>
      </c>
      <c r="F155" s="37" t="n">
        <v>5642327</v>
      </c>
      <c r="G155" s="68" t="n"/>
      <c r="H155" s="68">
        <f>E155*G155</f>
        <v/>
      </c>
      <c r="I155" s="68">
        <f>F155*G155</f>
        <v/>
      </c>
      <c r="J155" s="68">
        <f>SUM(H155:I155)</f>
        <v/>
      </c>
      <c r="K155" s="39" t="n"/>
    </row>
    <row r="156" hidden="1" ht="58" customHeight="1">
      <c r="A156" s="35" t="n">
        <v>148</v>
      </c>
      <c r="B156" s="40" t="inlineStr">
        <is>
          <t>M-ODC-C-144</t>
        </is>
      </c>
      <c r="C156" s="36" t="inlineStr">
        <is>
          <t>Pengadaan dan pemasangan kabinet odc (outdoor) kap 144 core dengan space untuk spliter modular termasuk material adaptor sc, pigtail, pondasi berlapis keramik, lantai kerja keramik, patok pengaman (5 buah), berikut pelabelan</t>
        </is>
      </c>
      <c r="D156" s="35" t="inlineStr">
        <is>
          <t>pcs</t>
        </is>
      </c>
      <c r="E156" s="37" t="n">
        <v>13366566</v>
      </c>
      <c r="F156" s="42" t="n">
        <v>0</v>
      </c>
      <c r="G156" s="68" t="n"/>
      <c r="H156" s="68">
        <f>E156*G156</f>
        <v/>
      </c>
      <c r="I156" s="68">
        <f>F156*G156</f>
        <v/>
      </c>
      <c r="J156" s="68">
        <f>SUM(H156:I156)</f>
        <v/>
      </c>
      <c r="K156" s="43" t="n"/>
    </row>
    <row r="157" hidden="1" ht="58" customHeight="1">
      <c r="A157" s="35" t="n">
        <v>149</v>
      </c>
      <c r="B157" s="40" t="inlineStr">
        <is>
          <t>J-ODC-C-144</t>
        </is>
      </c>
      <c r="C157" s="36" t="inlineStr">
        <is>
          <t>Pengadaan dan pemasangan kabinet odc (outdoor) kap 144 core dengan space untuk spliter modular termasuk material adaptor sc, pigtail, pondasi berlapis keramik, lantai kerja keramik, patok pengaman (5 buah), berikut pelabelan</t>
        </is>
      </c>
      <c r="D157" s="35" t="inlineStr">
        <is>
          <t>pcs</t>
        </is>
      </c>
      <c r="E157" s="42" t="n">
        <v>0</v>
      </c>
      <c r="F157" s="37" t="n">
        <v>5642327</v>
      </c>
      <c r="G157" s="68" t="n"/>
      <c r="H157" s="68">
        <f>E157*G157</f>
        <v/>
      </c>
      <c r="I157" s="68">
        <f>F157*G157</f>
        <v/>
      </c>
      <c r="J157" s="68">
        <f>SUM(H157:I157)</f>
        <v/>
      </c>
      <c r="K157" s="43" t="n"/>
    </row>
    <row r="158" hidden="1" ht="58" customHeight="1">
      <c r="A158" s="35" t="n">
        <v>150</v>
      </c>
      <c r="B158" s="35" t="inlineStr">
        <is>
          <t>ODC-C-288</t>
        </is>
      </c>
      <c r="C158" s="36" t="inlineStr">
        <is>
          <t>Pengadaan dan pemasangan kabinet odc (outdoor) kap 288 core dengan space untuk spliter modular termasuk material adaptor sc, pigtail, pondasi berlapis keramik, lantai kerja keramik, patok pengaman (5 buah), berikut pelabelan</t>
        </is>
      </c>
      <c r="D158" s="35" t="inlineStr">
        <is>
          <t>pcs</t>
        </is>
      </c>
      <c r="E158" s="37" t="n">
        <v>25226742</v>
      </c>
      <c r="F158" s="37" t="n">
        <v>5684905</v>
      </c>
      <c r="G158" s="68" t="n"/>
      <c r="H158" s="68">
        <f>E158*G158</f>
        <v/>
      </c>
      <c r="I158" s="68">
        <f>F158*G158</f>
        <v/>
      </c>
      <c r="J158" s="68">
        <f>SUM(H158:I158)</f>
        <v/>
      </c>
      <c r="K158" s="43" t="n"/>
    </row>
    <row r="159" hidden="1" ht="58" customHeight="1">
      <c r="A159" s="35" t="n">
        <v>151</v>
      </c>
      <c r="B159" s="40" t="inlineStr">
        <is>
          <t>M-ODC-C-288</t>
        </is>
      </c>
      <c r="C159" s="36" t="inlineStr">
        <is>
          <t>Pengadaan dan pemasangan kabinet odc (outdoor) kap 288 core dengan space untuk spliter modular termasuk material adaptor sc, pigtail, pondasi berlapis keramik, lantai kerja keramik, patok pengaman (5 buah), berikut pelabelan</t>
        </is>
      </c>
      <c r="D159" s="35" t="inlineStr">
        <is>
          <t>pcs</t>
        </is>
      </c>
      <c r="E159" s="37" t="n">
        <v>25226742</v>
      </c>
      <c r="F159" s="42" t="n">
        <v>0</v>
      </c>
      <c r="G159" s="68" t="n"/>
      <c r="H159" s="68">
        <f>E159*G159</f>
        <v/>
      </c>
      <c r="I159" s="68">
        <f>F159*G159</f>
        <v/>
      </c>
      <c r="J159" s="68">
        <f>SUM(H159:I159)</f>
        <v/>
      </c>
      <c r="K159" s="39" t="n"/>
    </row>
    <row r="160" hidden="1" ht="58" customHeight="1">
      <c r="A160" s="35" t="n">
        <v>152</v>
      </c>
      <c r="B160" s="40" t="inlineStr">
        <is>
          <t>J-ODC-C-288</t>
        </is>
      </c>
      <c r="C160" s="36" t="inlineStr">
        <is>
          <t>Pengadaan dan pemasangan kabinet odc (outdoor) kap 288 core dengan space untuk spliter modular termasuk material adaptor sc, pigtail, pondasi berlapis keramik, lantai kerja keramik, patok pengaman (5 buah), berikut pelabelan</t>
        </is>
      </c>
      <c r="D160" s="35" t="inlineStr">
        <is>
          <t>pcs</t>
        </is>
      </c>
      <c r="E160" s="42" t="n">
        <v>0</v>
      </c>
      <c r="F160" s="37" t="n">
        <v>5684905</v>
      </c>
      <c r="G160" s="68" t="n"/>
      <c r="H160" s="68">
        <f>E160*G160</f>
        <v/>
      </c>
      <c r="I160" s="68">
        <f>F160*G160</f>
        <v/>
      </c>
      <c r="J160" s="68">
        <f>SUM(H160:I160)</f>
        <v/>
      </c>
      <c r="K160" s="43" t="n"/>
    </row>
    <row r="161" hidden="1" ht="58" customFormat="1" customHeight="1" s="1">
      <c r="A161" s="35" t="n">
        <v>153</v>
      </c>
      <c r="B161" s="35" t="inlineStr">
        <is>
          <t>ODC-C-576</t>
        </is>
      </c>
      <c r="C161" s="36" t="inlineStr">
        <is>
          <t>Pengadaan dan pemasangan kabinet odc (outdoor) kap 576 core dengan space untuk spliter modular termasuk material adaptor sc, pigtail, pondasi berlapis keramik, lantai kerja keramik, patok pengaman (5 buah), berikut pelabelan</t>
        </is>
      </c>
      <c r="D161" s="35" t="inlineStr">
        <is>
          <t>pcs</t>
        </is>
      </c>
      <c r="E161" s="37" t="n">
        <v>59967223</v>
      </c>
      <c r="F161" s="37" t="n">
        <v>5640333</v>
      </c>
      <c r="G161" s="68" t="n"/>
      <c r="H161" s="68">
        <f>E161*G161</f>
        <v/>
      </c>
      <c r="I161" s="68">
        <f>F161*G161</f>
        <v/>
      </c>
      <c r="J161" s="68">
        <f>SUM(H161:I161)</f>
        <v/>
      </c>
      <c r="K161" s="44" t="n"/>
      <c r="L161" s="11" t="n"/>
      <c r="M161" s="12" t="n"/>
      <c r="N161" s="12" t="n"/>
      <c r="O161" s="12" t="n"/>
      <c r="P161" s="12" t="n"/>
      <c r="Q161" s="12" t="n"/>
      <c r="R161" s="12" t="n"/>
      <c r="S161" s="12" t="n"/>
      <c r="T161" s="12" t="n"/>
      <c r="U161" s="12" t="n"/>
      <c r="V161" s="12" t="n"/>
      <c r="W161" s="12" t="n"/>
      <c r="X161" s="12" t="n"/>
    </row>
    <row r="162" hidden="1" ht="58" customHeight="1">
      <c r="A162" s="35" t="n">
        <v>154</v>
      </c>
      <c r="B162" s="40" t="inlineStr">
        <is>
          <t>M-ODC-C-576</t>
        </is>
      </c>
      <c r="C162" s="36" t="inlineStr">
        <is>
          <t>Pengadaan dan pemasangan kabinet odc (outdoor) kap 576 core dengan space untuk spliter modular termasuk material adaptor sc, pigtail, pondasi berlapis keramik, lantai kerja keramik, patok pengaman (5 buah), berikut pelabelan</t>
        </is>
      </c>
      <c r="D162" s="35" t="inlineStr">
        <is>
          <t>pcs</t>
        </is>
      </c>
      <c r="E162" s="37" t="n">
        <v>59967223</v>
      </c>
      <c r="F162" s="42" t="n">
        <v>0</v>
      </c>
      <c r="G162" s="68" t="n"/>
      <c r="H162" s="68">
        <f>E162*G162</f>
        <v/>
      </c>
      <c r="I162" s="68">
        <f>F162*G162</f>
        <v/>
      </c>
      <c r="J162" s="68">
        <f>SUM(H162:I162)</f>
        <v/>
      </c>
      <c r="K162" s="43" t="n"/>
    </row>
    <row r="163" hidden="1" ht="58" customHeight="1">
      <c r="A163" s="35" t="n">
        <v>155</v>
      </c>
      <c r="B163" s="40" t="inlineStr">
        <is>
          <t>J-ODC-C-576</t>
        </is>
      </c>
      <c r="C163" s="36" t="inlineStr">
        <is>
          <t>Pengadaan dan pemasangan kabinet odc (outdoor) kap 576 core dengan space untuk spliter modular termasuk material adaptor sc, pigtail, pondasi berlapis keramik, lantai kerja keramik, patok pengaman (5 buah), berikut pelabelan</t>
        </is>
      </c>
      <c r="D163" s="35" t="inlineStr">
        <is>
          <t>pcs</t>
        </is>
      </c>
      <c r="E163" s="42" t="n">
        <v>0</v>
      </c>
      <c r="F163" s="37" t="n">
        <v>5640333</v>
      </c>
      <c r="G163" s="68" t="n"/>
      <c r="H163" s="68">
        <f>E163*G163</f>
        <v/>
      </c>
      <c r="I163" s="68">
        <f>F163*G163</f>
        <v/>
      </c>
      <c r="J163" s="68">
        <f>SUM(H163:I163)</f>
        <v/>
      </c>
      <c r="K163" s="43" t="n"/>
    </row>
    <row r="164" hidden="1" ht="101.5" customHeight="1">
      <c r="A164" s="35" t="n">
        <v>156</v>
      </c>
      <c r="B164" s="35" t="inlineStr">
        <is>
          <t>ODC-C-144-PKU</t>
        </is>
      </c>
      <c r="C164"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4" s="35" t="inlineStr">
        <is>
          <t>set</t>
        </is>
      </c>
      <c r="E164" s="37" t="n">
        <v>22302070</v>
      </c>
      <c r="F164" s="37" t="n">
        <v>8631919</v>
      </c>
      <c r="G164" s="68" t="n"/>
      <c r="H164" s="68">
        <f>E164*G164</f>
        <v/>
      </c>
      <c r="I164" s="68">
        <f>F164*G164</f>
        <v/>
      </c>
      <c r="J164" s="68">
        <f>SUM(H164:I164)</f>
        <v/>
      </c>
      <c r="K164" s="43" t="n"/>
    </row>
    <row r="165" hidden="1" ht="101.5" customHeight="1">
      <c r="A165" s="35" t="n">
        <v>157</v>
      </c>
      <c r="B165" s="40" t="inlineStr">
        <is>
          <t>M-ODC-C-144-PKU</t>
        </is>
      </c>
      <c r="C165"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5" s="35" t="inlineStr">
        <is>
          <t>set</t>
        </is>
      </c>
      <c r="E165" s="37" t="n">
        <v>22302070</v>
      </c>
      <c r="F165" s="42" t="n">
        <v>0</v>
      </c>
      <c r="G165" s="68" t="n"/>
      <c r="H165" s="68">
        <f>E165*G165</f>
        <v/>
      </c>
      <c r="I165" s="68">
        <f>F165*G165</f>
        <v/>
      </c>
      <c r="J165" s="68">
        <f>SUM(H165:I165)</f>
        <v/>
      </c>
      <c r="K165" s="43" t="n"/>
    </row>
    <row r="166" hidden="1" ht="101.5" customHeight="1">
      <c r="A166" s="35" t="n">
        <v>158</v>
      </c>
      <c r="B166" s="40" t="inlineStr">
        <is>
          <t>J-ODC-C-144-PKU</t>
        </is>
      </c>
      <c r="C166"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6" s="35" t="inlineStr">
        <is>
          <t>set</t>
        </is>
      </c>
      <c r="E166" s="42" t="n">
        <v>0</v>
      </c>
      <c r="F166" s="37" t="n">
        <v>8631919</v>
      </c>
      <c r="G166" s="68" t="n"/>
      <c r="H166" s="68">
        <f>E166*G166</f>
        <v/>
      </c>
      <c r="I166" s="68">
        <f>F166*G166</f>
        <v/>
      </c>
      <c r="J166" s="68">
        <f>SUM(H166:I166)</f>
        <v/>
      </c>
      <c r="K166" s="43" t="n"/>
    </row>
    <row r="167" hidden="1" ht="101.5" customHeight="1">
      <c r="A167" s="35" t="n">
        <v>159</v>
      </c>
      <c r="B167" s="35" t="inlineStr">
        <is>
          <t>ODC-C-288-PKU</t>
        </is>
      </c>
      <c r="C167"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7" s="35" t="inlineStr">
        <is>
          <t>set</t>
        </is>
      </c>
      <c r="E167" s="37" t="n">
        <v>34162246</v>
      </c>
      <c r="F167" s="37" t="n">
        <v>8674497</v>
      </c>
      <c r="G167" s="68" t="n"/>
      <c r="H167" s="68">
        <f>E167*G167</f>
        <v/>
      </c>
      <c r="I167" s="68">
        <f>F167*G167</f>
        <v/>
      </c>
      <c r="J167" s="68">
        <f>SUM(H167:I167)</f>
        <v/>
      </c>
      <c r="K167" s="43" t="n"/>
    </row>
    <row r="168" hidden="1" ht="101.5" customHeight="1">
      <c r="A168" s="35" t="n">
        <v>160</v>
      </c>
      <c r="B168" s="40" t="inlineStr">
        <is>
          <t>M-ODC-C-288-PKU</t>
        </is>
      </c>
      <c r="C168"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8" s="35" t="inlineStr">
        <is>
          <t>set</t>
        </is>
      </c>
      <c r="E168" s="37" t="n">
        <v>34162246</v>
      </c>
      <c r="F168" s="42" t="n">
        <v>0</v>
      </c>
      <c r="G168" s="68" t="n"/>
      <c r="H168" s="68">
        <f>E168*G168</f>
        <v/>
      </c>
      <c r="I168" s="68">
        <f>F168*G168</f>
        <v/>
      </c>
      <c r="J168" s="68">
        <f>SUM(H168:I168)</f>
        <v/>
      </c>
      <c r="K168" s="43" t="n"/>
    </row>
    <row r="169" hidden="1" ht="101.5" customHeight="1">
      <c r="A169" s="35" t="n">
        <v>161</v>
      </c>
      <c r="B169" s="40" t="inlineStr">
        <is>
          <t>J-ODC-C-288-PKU</t>
        </is>
      </c>
      <c r="C169"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169" s="35" t="inlineStr">
        <is>
          <t>set</t>
        </is>
      </c>
      <c r="E169" s="42" t="n">
        <v>0</v>
      </c>
      <c r="F169" s="37" t="n">
        <v>8674497</v>
      </c>
      <c r="G169" s="68" t="n"/>
      <c r="H169" s="68">
        <f>E169*G169</f>
        <v/>
      </c>
      <c r="I169" s="68">
        <f>F169*G169</f>
        <v/>
      </c>
      <c r="J169" s="68">
        <f>SUM(H169:I169)</f>
        <v/>
      </c>
      <c r="K169" s="43" t="n"/>
    </row>
    <row r="170" hidden="1" ht="101.5" customHeight="1">
      <c r="A170" s="35" t="n">
        <v>162</v>
      </c>
      <c r="B170" s="35" t="inlineStr">
        <is>
          <t>ODC-C-144-PKT</t>
        </is>
      </c>
      <c r="C170"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0" s="35" t="inlineStr">
        <is>
          <t>set</t>
        </is>
      </c>
      <c r="E170" s="37" t="n">
        <v>33088407</v>
      </c>
      <c r="F170" s="37" t="n">
        <v>9161313</v>
      </c>
      <c r="G170" s="68" t="n"/>
      <c r="H170" s="68">
        <f>E170*G170</f>
        <v/>
      </c>
      <c r="I170" s="68">
        <f>F170*G170</f>
        <v/>
      </c>
      <c r="J170" s="68">
        <f>SUM(H170:I170)</f>
        <v/>
      </c>
      <c r="K170" s="43" t="n"/>
    </row>
    <row r="171" hidden="1" ht="101.5" customHeight="1">
      <c r="A171" s="35" t="n">
        <v>163</v>
      </c>
      <c r="B171" s="40" t="inlineStr">
        <is>
          <t>M-ODC-C-144-PKT</t>
        </is>
      </c>
      <c r="C171"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1" s="35" t="inlineStr">
        <is>
          <t>set</t>
        </is>
      </c>
      <c r="E171" s="37" t="n">
        <v>33088407</v>
      </c>
      <c r="F171" s="42" t="n">
        <v>0</v>
      </c>
      <c r="G171" s="68" t="n"/>
      <c r="H171" s="68">
        <f>E171*G171</f>
        <v/>
      </c>
      <c r="I171" s="68">
        <f>F171*G171</f>
        <v/>
      </c>
      <c r="J171" s="68">
        <f>SUM(H171:I171)</f>
        <v/>
      </c>
      <c r="K171" s="43" t="n"/>
    </row>
    <row r="172" hidden="1" ht="101.5" customHeight="1">
      <c r="A172" s="35" t="n">
        <v>164</v>
      </c>
      <c r="B172" s="40" t="inlineStr">
        <is>
          <t>J-ODC-C-144-PKT</t>
        </is>
      </c>
      <c r="C172" s="36"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2" s="35" t="inlineStr">
        <is>
          <t>set</t>
        </is>
      </c>
      <c r="E172" s="42" t="n">
        <v>0</v>
      </c>
      <c r="F172" s="37" t="n">
        <v>9161313</v>
      </c>
      <c r="G172" s="68" t="n"/>
      <c r="H172" s="68">
        <f>E172*G172</f>
        <v/>
      </c>
      <c r="I172" s="68">
        <f>F172*G172</f>
        <v/>
      </c>
      <c r="J172" s="68">
        <f>SUM(H172:I172)</f>
        <v/>
      </c>
      <c r="K172" s="43" t="n"/>
    </row>
    <row r="173" hidden="1" ht="101.5" customHeight="1">
      <c r="A173" s="35" t="n">
        <v>165</v>
      </c>
      <c r="B173" s="35" t="inlineStr">
        <is>
          <t>ODC-C-288-PKT</t>
        </is>
      </c>
      <c r="C173"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3" s="35" t="inlineStr">
        <is>
          <t>set</t>
        </is>
      </c>
      <c r="E173" s="37" t="n">
        <v>44948583</v>
      </c>
      <c r="F173" s="37" t="n">
        <v>9203890</v>
      </c>
      <c r="G173" s="68" t="n"/>
      <c r="H173" s="68">
        <f>E173*G173</f>
        <v/>
      </c>
      <c r="I173" s="68">
        <f>F173*G173</f>
        <v/>
      </c>
      <c r="J173" s="68">
        <f>SUM(H173:I173)</f>
        <v/>
      </c>
      <c r="K173" s="43" t="n"/>
    </row>
    <row r="174" hidden="1" ht="101.5" customHeight="1">
      <c r="A174" s="35" t="n">
        <v>166</v>
      </c>
      <c r="B174" s="40" t="inlineStr">
        <is>
          <t>M-ODC-C-288-PKT</t>
        </is>
      </c>
      <c r="C174"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4" s="35" t="inlineStr">
        <is>
          <t>set</t>
        </is>
      </c>
      <c r="E174" s="37" t="n">
        <v>44948583</v>
      </c>
      <c r="F174" s="42" t="n">
        <v>0</v>
      </c>
      <c r="G174" s="68" t="n"/>
      <c r="H174" s="68">
        <f>E174*G174</f>
        <v/>
      </c>
      <c r="I174" s="68">
        <f>F174*G174</f>
        <v/>
      </c>
      <c r="J174" s="68">
        <f>SUM(H174:I174)</f>
        <v/>
      </c>
      <c r="K174" s="43" t="n"/>
    </row>
    <row r="175" hidden="1" ht="101.5" customHeight="1">
      <c r="A175" s="35" t="n">
        <v>167</v>
      </c>
      <c r="B175" s="40" t="inlineStr">
        <is>
          <t>J-ODC-C-288-PKT</t>
        </is>
      </c>
      <c r="C175" s="36"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175" s="35" t="inlineStr">
        <is>
          <t>set</t>
        </is>
      </c>
      <c r="E175" s="42" t="n">
        <v>0</v>
      </c>
      <c r="F175" s="37" t="n">
        <v>9203890</v>
      </c>
      <c r="G175" s="68" t="n"/>
      <c r="H175" s="68">
        <f>E175*G175</f>
        <v/>
      </c>
      <c r="I175" s="68">
        <f>F175*G175</f>
        <v/>
      </c>
      <c r="J175" s="68">
        <f>SUM(H175:I175)</f>
        <v/>
      </c>
      <c r="K175" s="43" t="n"/>
    </row>
    <row r="176" hidden="1" ht="43.5" customHeight="1">
      <c r="A176" s="35" t="n">
        <v>168</v>
      </c>
      <c r="B176" s="35" t="inlineStr">
        <is>
          <t>ODC-PROT-144</t>
        </is>
      </c>
      <c r="C176" s="36" t="inlineStr">
        <is>
          <t>Pengaman odc 144 (besi siku 4cmx4cmx4mm, besi beton 10mm (jarak antar besi beton 10cm, engsel besar, baut ram set 14mm dan kunci gembok 50mm</t>
        </is>
      </c>
      <c r="D176" s="35" t="inlineStr">
        <is>
          <t>unit</t>
        </is>
      </c>
      <c r="E176" s="37" t="n">
        <v>1750000</v>
      </c>
      <c r="F176" s="37" t="n">
        <v>700000</v>
      </c>
      <c r="G176" s="68" t="n"/>
      <c r="H176" s="68">
        <f>E176*G176</f>
        <v/>
      </c>
      <c r="I176" s="68">
        <f>F176*G176</f>
        <v/>
      </c>
      <c r="J176" s="68">
        <f>SUM(H176:I176)</f>
        <v/>
      </c>
      <c r="K176" s="43" t="n"/>
    </row>
    <row r="177" hidden="1" ht="43.5" customHeight="1">
      <c r="A177" s="35" t="n">
        <v>169</v>
      </c>
      <c r="B177" s="40" t="inlineStr">
        <is>
          <t>M-ODC-PROT-144</t>
        </is>
      </c>
      <c r="C177" s="36" t="inlineStr">
        <is>
          <t>Pengaman odc 144 (besi siku 4cmx4cmx4mm, besi beton 10mm (jarak antar besi beton 10cm, engsel besar, baut ram set 14mm dan kunci gembok 50mm</t>
        </is>
      </c>
      <c r="D177" s="35" t="inlineStr">
        <is>
          <t>unit</t>
        </is>
      </c>
      <c r="E177" s="37" t="n">
        <v>1750000</v>
      </c>
      <c r="F177" s="42" t="n">
        <v>0</v>
      </c>
      <c r="G177" s="68" t="n"/>
      <c r="H177" s="68">
        <f>E177*G177</f>
        <v/>
      </c>
      <c r="I177" s="68">
        <f>F177*G177</f>
        <v/>
      </c>
      <c r="J177" s="68">
        <f>SUM(H177:I177)</f>
        <v/>
      </c>
      <c r="K177" s="43" t="n"/>
    </row>
    <row r="178" hidden="1" ht="43.5" customHeight="1">
      <c r="A178" s="35" t="n">
        <v>170</v>
      </c>
      <c r="B178" s="40" t="inlineStr">
        <is>
          <t>J-ODC-PROT-144</t>
        </is>
      </c>
      <c r="C178" s="36" t="inlineStr">
        <is>
          <t>Pengaman odc 144 (besi siku 4cmx4cmx4mm, besi beton 10mm (jarak antar besi beton 10cm, engsel besar, baut ram set 14mm dan kunci gembok 50mm</t>
        </is>
      </c>
      <c r="D178" s="35" t="inlineStr">
        <is>
          <t>unit</t>
        </is>
      </c>
      <c r="E178" s="42" t="n">
        <v>0</v>
      </c>
      <c r="F178" s="37" t="n">
        <v>700000</v>
      </c>
      <c r="G178" s="68" t="n"/>
      <c r="H178" s="68">
        <f>E178*G178</f>
        <v/>
      </c>
      <c r="I178" s="68">
        <f>F178*G178</f>
        <v/>
      </c>
      <c r="J178" s="68">
        <f>SUM(H178:I178)</f>
        <v/>
      </c>
      <c r="K178" s="43" t="n"/>
    </row>
    <row r="179" hidden="1" ht="43.5" customHeight="1">
      <c r="A179" s="35" t="n">
        <v>171</v>
      </c>
      <c r="B179" s="35" t="inlineStr">
        <is>
          <t>ODC-PROT-288</t>
        </is>
      </c>
      <c r="C179" s="36" t="inlineStr">
        <is>
          <t>Pengaman odc 288 (besi siku 4cmx4cmx4mm, besi beton 10mm (jarak antar besi beton 10cm, engsel besar, baut ram set 14mm dan kunci gembok 50mm</t>
        </is>
      </c>
      <c r="D179" s="35" t="inlineStr">
        <is>
          <t>unit</t>
        </is>
      </c>
      <c r="E179" s="37" t="n">
        <v>1900000</v>
      </c>
      <c r="F179" s="37" t="n">
        <v>750000</v>
      </c>
      <c r="G179" s="68" t="n"/>
      <c r="H179" s="68">
        <f>E179*G179</f>
        <v/>
      </c>
      <c r="I179" s="68">
        <f>F179*G179</f>
        <v/>
      </c>
      <c r="J179" s="68">
        <f>SUM(H179:I179)</f>
        <v/>
      </c>
      <c r="K179" s="43" t="n"/>
    </row>
    <row r="180" hidden="1" ht="43.5" customHeight="1">
      <c r="A180" s="35" t="n">
        <v>172</v>
      </c>
      <c r="B180" s="40" t="inlineStr">
        <is>
          <t>M-ODC-PROT-288</t>
        </is>
      </c>
      <c r="C180" s="36" t="inlineStr">
        <is>
          <t>Pengaman odc 288 (besi siku 4cmx4cmx4mm, besi beton 10mm (jarak antar besi beton 10cm, engsel besar, baut ram set 14mm dan kunci gembok 50mm</t>
        </is>
      </c>
      <c r="D180" s="35" t="inlineStr">
        <is>
          <t>unit</t>
        </is>
      </c>
      <c r="E180" s="37" t="n">
        <v>1900000</v>
      </c>
      <c r="F180" s="42" t="n">
        <v>0</v>
      </c>
      <c r="G180" s="68" t="n"/>
      <c r="H180" s="68">
        <f>E180*G180</f>
        <v/>
      </c>
      <c r="I180" s="68">
        <f>F180*G180</f>
        <v/>
      </c>
      <c r="J180" s="68">
        <f>SUM(H180:I180)</f>
        <v/>
      </c>
      <c r="K180" s="43" t="n"/>
    </row>
    <row r="181" hidden="1" ht="43.5" customHeight="1">
      <c r="A181" s="35" t="n">
        <v>173</v>
      </c>
      <c r="B181" s="40" t="inlineStr">
        <is>
          <t>J-ODC-PROT-288</t>
        </is>
      </c>
      <c r="C181" s="36" t="inlineStr">
        <is>
          <t>Pengaman odc 288 (besi siku 4cmx4cmx4mm, besi beton 10mm (jarak antar besi beton 10cm, engsel besar, baut ram set 14mm dan kunci gembok 50mm</t>
        </is>
      </c>
      <c r="D181" s="35" t="inlineStr">
        <is>
          <t>unit</t>
        </is>
      </c>
      <c r="E181" s="42" t="n">
        <v>0</v>
      </c>
      <c r="F181" s="37" t="n">
        <v>750000</v>
      </c>
      <c r="G181" s="68" t="n"/>
      <c r="H181" s="68">
        <f>E181*G181</f>
        <v/>
      </c>
      <c r="I181" s="68">
        <f>F181*G181</f>
        <v/>
      </c>
      <c r="J181" s="68">
        <f>SUM(H181:I181)</f>
        <v/>
      </c>
      <c r="K181" s="43" t="n"/>
    </row>
    <row r="182" hidden="1" ht="43.5" customHeight="1">
      <c r="A182" s="35" t="n">
        <v>174</v>
      </c>
      <c r="B182" s="35" t="inlineStr">
        <is>
          <t>Base Tray ODC</t>
        </is>
      </c>
      <c r="C182" s="36" t="inlineStr">
        <is>
          <t>Pengadaan dan pemasangan otb termasuk terminasi dan penyambungan kabel optik single mode kap 12 core serta adapter (sc connector), pigtail dan protection sleeve pada cassette/box</t>
        </is>
      </c>
      <c r="D182" s="35" t="inlineStr">
        <is>
          <t>pcs</t>
        </is>
      </c>
      <c r="E182" s="37" t="n">
        <v>579574</v>
      </c>
      <c r="F182" s="37" t="n">
        <v>735910</v>
      </c>
      <c r="G182" s="68" t="n"/>
      <c r="H182" s="68">
        <f>E182*G182</f>
        <v/>
      </c>
      <c r="I182" s="68">
        <f>F182*G182</f>
        <v/>
      </c>
      <c r="J182" s="68">
        <f>SUM(H182:I182)</f>
        <v/>
      </c>
      <c r="K182" s="43" t="n"/>
    </row>
    <row r="183" hidden="1" ht="43.5" customHeight="1">
      <c r="A183" s="35" t="n">
        <v>175</v>
      </c>
      <c r="B183" s="40" t="inlineStr">
        <is>
          <t>M-Base Tray ODC</t>
        </is>
      </c>
      <c r="C183" s="36" t="inlineStr">
        <is>
          <t>Pengadaan dan pemasangan otb termasuk terminasi dan penyambungan kabel optik single mode kap 12 core serta adapter (sc connector), pigtail dan protection sleeve pada cassette/box</t>
        </is>
      </c>
      <c r="D183" s="35" t="inlineStr">
        <is>
          <t>pcs</t>
        </is>
      </c>
      <c r="E183" s="37" t="n">
        <v>579574</v>
      </c>
      <c r="F183" s="42" t="n">
        <v>0</v>
      </c>
      <c r="G183" s="68" t="n"/>
      <c r="H183" s="68">
        <f>E183*G183</f>
        <v/>
      </c>
      <c r="I183" s="68">
        <f>F183*G183</f>
        <v/>
      </c>
      <c r="J183" s="68">
        <f>SUM(H183:I183)</f>
        <v/>
      </c>
      <c r="K183" s="43" t="n"/>
    </row>
    <row r="184" hidden="1" ht="43.5" customHeight="1">
      <c r="A184" s="35" t="n">
        <v>176</v>
      </c>
      <c r="B184" s="40" t="inlineStr">
        <is>
          <t>J-Base Tray ODC</t>
        </is>
      </c>
      <c r="C184" s="36" t="inlineStr">
        <is>
          <t>Pengadaan dan pemasangan otb termasuk terminasi dan penyambungan kabel optik single mode kap 12 core serta adapter (sc connector), pigtail dan protection sleeve pada cassette/box</t>
        </is>
      </c>
      <c r="D184" s="35" t="inlineStr">
        <is>
          <t>pcs</t>
        </is>
      </c>
      <c r="E184" s="42" t="n">
        <v>0</v>
      </c>
      <c r="F184" s="37" t="n">
        <v>735910</v>
      </c>
      <c r="G184" s="68" t="n"/>
      <c r="H184" s="68">
        <f>E184*G184</f>
        <v/>
      </c>
      <c r="I184" s="68">
        <f>F184*G184</f>
        <v/>
      </c>
      <c r="J184" s="68">
        <f>SUM(H184:I184)</f>
        <v/>
      </c>
      <c r="K184" s="43" t="n"/>
    </row>
    <row r="185" hidden="1" ht="43.5" customFormat="1" customHeight="1" s="4">
      <c r="A185" s="35" t="n">
        <v>177</v>
      </c>
      <c r="B185" s="35" t="inlineStr">
        <is>
          <t>ODP-SOLID-PL-8</t>
        </is>
      </c>
      <c r="C185" s="36" t="inlineStr">
        <is>
          <t>Pengadaan dan pemasangan odp ( pilar ) solid kap 8 core termasuk pigtail, berikut space 1 splitter (1:8), printing dan pelabelan penempelan qr code (qr code disediakan oleh telkom)</t>
        </is>
      </c>
      <c r="D185" s="35" t="inlineStr">
        <is>
          <t>pcs</t>
        </is>
      </c>
      <c r="E185" s="37" t="n">
        <v>1450158</v>
      </c>
      <c r="F185" s="37" t="n">
        <v>136669</v>
      </c>
      <c r="G185" s="68" t="n"/>
      <c r="H185" s="68">
        <f>E185*G185</f>
        <v/>
      </c>
      <c r="I185" s="68">
        <f>F185*G185</f>
        <v/>
      </c>
      <c r="J185" s="68">
        <f>SUM(H185:I185)</f>
        <v/>
      </c>
      <c r="K185" s="43" t="n"/>
      <c r="L185" s="11" t="n"/>
      <c r="M185" s="12" t="n"/>
      <c r="N185" s="13" t="n"/>
      <c r="O185" s="13" t="n"/>
      <c r="P185" s="13" t="n"/>
      <c r="Q185" s="13" t="n"/>
      <c r="R185" s="13" t="n"/>
      <c r="S185" s="13" t="n"/>
      <c r="T185" s="13" t="n"/>
      <c r="U185" s="13" t="n"/>
      <c r="V185" s="13" t="n"/>
      <c r="W185" s="13" t="n"/>
      <c r="X185" s="13" t="n"/>
    </row>
    <row r="186" hidden="1" ht="43.5" customFormat="1" customHeight="1" s="4">
      <c r="A186" s="35" t="n">
        <v>178</v>
      </c>
      <c r="B186" s="40" t="inlineStr">
        <is>
          <t>M-ODP-SOLID-PL-8</t>
        </is>
      </c>
      <c r="C186" s="36" t="inlineStr">
        <is>
          <t>Pengadaan dan pemasangan odp ( pilar ) solid kap 8 core termasuk pigtail, berikut space 1 splitter (1:8), printing dan pelabelan penempelan qr code (qr code disediakan oleh telkom)</t>
        </is>
      </c>
      <c r="D186" s="35" t="inlineStr">
        <is>
          <t>pcs</t>
        </is>
      </c>
      <c r="E186" s="37" t="n">
        <v>1450158</v>
      </c>
      <c r="F186" s="42" t="n">
        <v>0</v>
      </c>
      <c r="G186" s="68" t="n"/>
      <c r="H186" s="68">
        <f>E186*G186</f>
        <v/>
      </c>
      <c r="I186" s="68">
        <f>F186*G186</f>
        <v/>
      </c>
      <c r="J186" s="68">
        <f>SUM(H186:I186)</f>
        <v/>
      </c>
      <c r="K186" s="43" t="n"/>
      <c r="L186" s="11" t="n"/>
      <c r="M186" s="12" t="n"/>
      <c r="N186" s="13" t="n"/>
      <c r="O186" s="13" t="n"/>
      <c r="P186" s="13" t="n"/>
      <c r="Q186" s="13" t="n"/>
      <c r="R186" s="13" t="n"/>
      <c r="S186" s="13" t="n"/>
      <c r="T186" s="13" t="n"/>
      <c r="U186" s="13" t="n"/>
      <c r="V186" s="13" t="n"/>
      <c r="W186" s="13" t="n"/>
      <c r="X186" s="13" t="n"/>
    </row>
    <row r="187" hidden="1" ht="43.5" customHeight="1">
      <c r="A187" s="35" t="n">
        <v>179</v>
      </c>
      <c r="B187" s="40" t="inlineStr">
        <is>
          <t>J-ODP-SOLID-PL-8</t>
        </is>
      </c>
      <c r="C187" s="36" t="inlineStr">
        <is>
          <t>Pengadaan dan pemasangan odp ( pilar ) solid kap 8 core termasuk pigtail, berikut space 1 splitter (1:8), printing dan pelabelan penempelan qr code (qr code disediakan oleh telkom)</t>
        </is>
      </c>
      <c r="D187" s="35" t="inlineStr">
        <is>
          <t>pcs</t>
        </is>
      </c>
      <c r="E187" s="42" t="n">
        <v>0</v>
      </c>
      <c r="F187" s="37" t="n">
        <v>136669</v>
      </c>
      <c r="G187" s="68" t="n"/>
      <c r="H187" s="68">
        <f>E187*G187</f>
        <v/>
      </c>
      <c r="I187" s="68">
        <f>F187*G187</f>
        <v/>
      </c>
      <c r="J187" s="68">
        <f>SUM(H187:I187)</f>
        <v/>
      </c>
      <c r="K187" s="43" t="n"/>
    </row>
    <row r="188" hidden="1" ht="43.5" customHeight="1">
      <c r="A188" s="35" t="n">
        <v>180</v>
      </c>
      <c r="B188" s="35" t="inlineStr">
        <is>
          <t>ODP-SOLID-PL-16</t>
        </is>
      </c>
      <c r="C188" s="36" t="inlineStr">
        <is>
          <t>Pengadaan dan pemasangan odp ( pilar ) solid kap 16 core termasuk pigtail, berikut space 1 splitter (1:16), printing dan pelabelan penempelan qr code (qr code disediakan oleh telkom)</t>
        </is>
      </c>
      <c r="D188" s="35" t="inlineStr">
        <is>
          <t>pcs</t>
        </is>
      </c>
      <c r="E188" s="37" t="n">
        <v>1679627</v>
      </c>
      <c r="F188" s="37" t="n">
        <v>136669</v>
      </c>
      <c r="G188" s="68" t="n"/>
      <c r="H188" s="68">
        <f>E188*G188</f>
        <v/>
      </c>
      <c r="I188" s="68">
        <f>F188*G188</f>
        <v/>
      </c>
      <c r="J188" s="68">
        <f>SUM(H188:I188)</f>
        <v/>
      </c>
      <c r="K188" s="43" t="n"/>
    </row>
    <row r="189" hidden="1" ht="43.5" customHeight="1">
      <c r="A189" s="35" t="n">
        <v>181</v>
      </c>
      <c r="B189" s="40" t="inlineStr">
        <is>
          <t>M-ODP-SOLID-PL-16</t>
        </is>
      </c>
      <c r="C189" s="36" t="inlineStr">
        <is>
          <t>Pengadaan dan pemasangan odp ( pilar ) solid kap 16 core termasuk pigtail, berikut space 1 splitter (1:16), printing dan pelabelan penempelan qr code (qr code disediakan oleh telkom)</t>
        </is>
      </c>
      <c r="D189" s="35" t="inlineStr">
        <is>
          <t>pcs</t>
        </is>
      </c>
      <c r="E189" s="37" t="n">
        <v>1679627</v>
      </c>
      <c r="F189" s="42" t="n">
        <v>0</v>
      </c>
      <c r="G189" s="68" t="n"/>
      <c r="H189" s="68">
        <f>E189*G189</f>
        <v/>
      </c>
      <c r="I189" s="68">
        <f>F189*G189</f>
        <v/>
      </c>
      <c r="J189" s="68">
        <f>SUM(H189:I189)</f>
        <v/>
      </c>
      <c r="K189" s="43" t="n"/>
    </row>
    <row r="190" hidden="1" ht="43.5" customHeight="1">
      <c r="A190" s="35" t="n">
        <v>182</v>
      </c>
      <c r="B190" s="40" t="inlineStr">
        <is>
          <t>J-ODP-SOLID-PL-16</t>
        </is>
      </c>
      <c r="C190" s="36" t="inlineStr">
        <is>
          <t>Pengadaan dan pemasangan odp ( pilar ) solid kap 16 core termasuk pigtail, berikut space 1 splitter (1:16), printing dan pelabelan penempelan qr code (qr code disediakan oleh telkom)</t>
        </is>
      </c>
      <c r="D190" s="35" t="inlineStr">
        <is>
          <t>pcs</t>
        </is>
      </c>
      <c r="E190" s="42" t="n">
        <v>0</v>
      </c>
      <c r="F190" s="37" t="n">
        <v>136669</v>
      </c>
      <c r="G190" s="68" t="n"/>
      <c r="H190" s="68">
        <f>E190*G190</f>
        <v/>
      </c>
      <c r="I190" s="68">
        <f>F190*G190</f>
        <v/>
      </c>
      <c r="J190" s="68">
        <f>SUM(H190:I190)</f>
        <v/>
      </c>
      <c r="K190" s="43" t="n"/>
    </row>
    <row r="191" hidden="1" ht="43.5" customHeight="1">
      <c r="A191" s="35" t="n">
        <v>183</v>
      </c>
      <c r="B191" s="35" t="inlineStr">
        <is>
          <t>TC-SM-12</t>
        </is>
      </c>
      <c r="C191" s="36" t="inlineStr">
        <is>
          <t>Pengadaan dan pemasangan otb termasuk terminasi dan penyambungan kabel optik single mode kap 12 core serta adapter (sc connector), pigtail dan protection sleeve pada cassette/box</t>
        </is>
      </c>
      <c r="D191" s="35" t="inlineStr">
        <is>
          <t>pcs</t>
        </is>
      </c>
      <c r="E191" s="37" t="n">
        <v>659998</v>
      </c>
      <c r="F191" s="37" t="n">
        <v>317769</v>
      </c>
      <c r="G191" s="68" t="n"/>
      <c r="H191" s="68">
        <f>E191*G191</f>
        <v/>
      </c>
      <c r="I191" s="68">
        <f>F191*G191</f>
        <v/>
      </c>
      <c r="J191" s="68">
        <f>SUM(H191:I191)</f>
        <v/>
      </c>
      <c r="K191" s="43" t="n"/>
    </row>
    <row r="192" hidden="1" ht="43.5" customHeight="1">
      <c r="A192" s="35" t="n">
        <v>184</v>
      </c>
      <c r="B192" s="40" t="inlineStr">
        <is>
          <t>M-TC-SM-12</t>
        </is>
      </c>
      <c r="C192" s="36" t="inlineStr">
        <is>
          <t>Pengadaan dan pemasangan otb termasuk terminasi dan penyambungan kabel optik single mode kap 12 core serta adapter (sc connector), pigtail dan protection sleeve pada cassette/box</t>
        </is>
      </c>
      <c r="D192" s="35" t="inlineStr">
        <is>
          <t>pcs</t>
        </is>
      </c>
      <c r="E192" s="37" t="n">
        <v>659998</v>
      </c>
      <c r="F192" s="42" t="n">
        <v>0</v>
      </c>
      <c r="G192" s="68" t="n"/>
      <c r="H192" s="68">
        <f>E192*G192</f>
        <v/>
      </c>
      <c r="I192" s="68">
        <f>F192*G192</f>
        <v/>
      </c>
      <c r="J192" s="68">
        <f>SUM(H192:I192)</f>
        <v/>
      </c>
      <c r="K192" s="43" t="n"/>
    </row>
    <row r="193" hidden="1" ht="43.5" customHeight="1">
      <c r="A193" s="35" t="n">
        <v>185</v>
      </c>
      <c r="B193" s="40" t="inlineStr">
        <is>
          <t>J-TC-SM-12</t>
        </is>
      </c>
      <c r="C193" s="36" t="inlineStr">
        <is>
          <t>Pengadaan dan pemasangan otb termasuk terminasi dan penyambungan kabel optik single mode kap 12 core serta adapter (sc connector), pigtail dan protection sleeve pada cassette/box</t>
        </is>
      </c>
      <c r="D193" s="35" t="inlineStr">
        <is>
          <t>pcs</t>
        </is>
      </c>
      <c r="E193" s="42" t="n">
        <v>0</v>
      </c>
      <c r="F193" s="37" t="n">
        <v>317769</v>
      </c>
      <c r="G193" s="68" t="n"/>
      <c r="H193" s="68">
        <f>E193*G193</f>
        <v/>
      </c>
      <c r="I193" s="68">
        <f>F193*G193</f>
        <v/>
      </c>
      <c r="J193" s="68">
        <f>SUM(H193:I193)</f>
        <v/>
      </c>
      <c r="K193" s="43" t="n"/>
    </row>
    <row r="194" hidden="1" ht="43.5" customHeight="1">
      <c r="A194" s="35" t="n">
        <v>186</v>
      </c>
      <c r="B194" s="35" t="inlineStr">
        <is>
          <t>TC-SM-24</t>
        </is>
      </c>
      <c r="C194" s="36" t="inlineStr">
        <is>
          <t>Pengadaan dan pemasangan otb termasuk terminasi dan penyambungan kabel optik single mode kap 24 core serta adapter (sc connector), pigtail dan protection sleeve pada cassette/box</t>
        </is>
      </c>
      <c r="D194" s="35" t="inlineStr">
        <is>
          <t>pcs</t>
        </is>
      </c>
      <c r="E194" s="37" t="n">
        <v>991038</v>
      </c>
      <c r="F194" s="37" t="n">
        <v>1004015</v>
      </c>
      <c r="G194" s="68" t="n"/>
      <c r="H194" s="68">
        <f>E194*G194</f>
        <v/>
      </c>
      <c r="I194" s="68">
        <f>F194*G194</f>
        <v/>
      </c>
      <c r="J194" s="68">
        <f>SUM(H194:I194)</f>
        <v/>
      </c>
      <c r="K194" s="43" t="n"/>
    </row>
    <row r="195" hidden="1" ht="43.5" customHeight="1">
      <c r="A195" s="35" t="n">
        <v>187</v>
      </c>
      <c r="B195" s="40" t="inlineStr">
        <is>
          <t>M-TC-SM-24</t>
        </is>
      </c>
      <c r="C195" s="36" t="inlineStr">
        <is>
          <t>Pengadaan dan pemasangan otb termasuk terminasi dan penyambungan kabel optik single mode kap 24 core serta adapter (sc connector), pigtail dan protection sleeve pada cassette/box</t>
        </is>
      </c>
      <c r="D195" s="35" t="inlineStr">
        <is>
          <t>pcs</t>
        </is>
      </c>
      <c r="E195" s="37" t="n">
        <v>991038</v>
      </c>
      <c r="F195" s="42" t="n">
        <v>0</v>
      </c>
      <c r="G195" s="68" t="n"/>
      <c r="H195" s="68">
        <f>E195*G195</f>
        <v/>
      </c>
      <c r="I195" s="68">
        <f>F195*G195</f>
        <v/>
      </c>
      <c r="J195" s="68">
        <f>SUM(H195:I195)</f>
        <v/>
      </c>
      <c r="K195" s="43" t="n"/>
    </row>
    <row r="196" hidden="1" ht="43.5" customHeight="1">
      <c r="A196" s="35" t="n">
        <v>188</v>
      </c>
      <c r="B196" s="40" t="inlineStr">
        <is>
          <t>J-TC-SM-24</t>
        </is>
      </c>
      <c r="C196" s="36" t="inlineStr">
        <is>
          <t>Pengadaan dan pemasangan otb termasuk terminasi dan penyambungan kabel optik single mode kap 24 core serta adapter (sc connector), pigtail dan protection sleeve pada cassette/box</t>
        </is>
      </c>
      <c r="D196" s="35" t="inlineStr">
        <is>
          <t>pcs</t>
        </is>
      </c>
      <c r="E196" s="42" t="n">
        <v>0</v>
      </c>
      <c r="F196" s="37" t="n">
        <v>1004015</v>
      </c>
      <c r="G196" s="68" t="n"/>
      <c r="H196" s="68">
        <f>E196*G196</f>
        <v/>
      </c>
      <c r="I196" s="68">
        <f>F196*G196</f>
        <v/>
      </c>
      <c r="J196" s="68">
        <f>SUM(H196:I196)</f>
        <v/>
      </c>
      <c r="K196" s="43" t="n"/>
    </row>
    <row r="197" hidden="1" ht="43.5" customHeight="1">
      <c r="A197" s="35" t="n">
        <v>189</v>
      </c>
      <c r="B197" s="35" t="inlineStr">
        <is>
          <t>TC-SM-48</t>
        </is>
      </c>
      <c r="C197" s="36" t="inlineStr">
        <is>
          <t>Pengadaan dan pemasangan otb termasuk terminasi dan penyambungan kabel optik single mode kap 48 core serta adapter (sc connector), pigtail dan protection sleeve pada cassette/box</t>
        </is>
      </c>
      <c r="D197" s="35" t="inlineStr">
        <is>
          <t>pcs</t>
        </is>
      </c>
      <c r="E197" s="37" t="n">
        <v>2200081</v>
      </c>
      <c r="F197" s="37" t="n">
        <v>2006931</v>
      </c>
      <c r="G197" s="68" t="n"/>
      <c r="H197" s="68">
        <f>E197*G197</f>
        <v/>
      </c>
      <c r="I197" s="68">
        <f>F197*G197</f>
        <v/>
      </c>
      <c r="J197" s="68">
        <f>SUM(H197:I197)</f>
        <v/>
      </c>
      <c r="K197" s="43" t="n"/>
    </row>
    <row r="198" hidden="1" ht="43.5" customHeight="1">
      <c r="A198" s="35" t="n">
        <v>190</v>
      </c>
      <c r="B198" s="40" t="inlineStr">
        <is>
          <t>M-TC-SM-48</t>
        </is>
      </c>
      <c r="C198" s="36" t="inlineStr">
        <is>
          <t>Pengadaan dan pemasangan otb termasuk terminasi dan penyambungan kabel optik single mode kap 48 core serta adapter (sc connector), pigtail dan protection sleeve pada cassette/box</t>
        </is>
      </c>
      <c r="D198" s="35" t="inlineStr">
        <is>
          <t>pcs</t>
        </is>
      </c>
      <c r="E198" s="37" t="n">
        <v>2200081</v>
      </c>
      <c r="F198" s="42" t="n">
        <v>0</v>
      </c>
      <c r="G198" s="68" t="n"/>
      <c r="H198" s="68">
        <f>E198*G198</f>
        <v/>
      </c>
      <c r="I198" s="68">
        <f>F198*G198</f>
        <v/>
      </c>
      <c r="J198" s="68">
        <f>SUM(H198:I198)</f>
        <v/>
      </c>
      <c r="K198" s="43" t="n"/>
    </row>
    <row r="199" hidden="1" ht="43.5" customHeight="1">
      <c r="A199" s="35" t="n">
        <v>191</v>
      </c>
      <c r="B199" s="40" t="inlineStr">
        <is>
          <t>J-TC-SM-48</t>
        </is>
      </c>
      <c r="C199" s="36" t="inlineStr">
        <is>
          <t>Pengadaan dan pemasangan otb termasuk terminasi dan penyambungan kabel optik single mode kap 48 core serta adapter (sc connector), pigtail dan protection sleeve pada cassette/box</t>
        </is>
      </c>
      <c r="D199" s="35" t="inlineStr">
        <is>
          <t>pcs</t>
        </is>
      </c>
      <c r="E199" s="42" t="n">
        <v>0</v>
      </c>
      <c r="F199" s="37" t="n">
        <v>2006931</v>
      </c>
      <c r="G199" s="68" t="n"/>
      <c r="H199" s="68">
        <f>E199*G199</f>
        <v/>
      </c>
      <c r="I199" s="68">
        <f>F199*G199</f>
        <v/>
      </c>
      <c r="J199" s="68">
        <f>SUM(H199:I199)</f>
        <v/>
      </c>
      <c r="K199" s="43" t="n"/>
    </row>
    <row r="200" hidden="1" ht="43.5" customHeight="1">
      <c r="A200" s="35" t="n">
        <v>192</v>
      </c>
      <c r="B200" s="35" t="inlineStr">
        <is>
          <t>TC-SM-96</t>
        </is>
      </c>
      <c r="C200" s="36" t="inlineStr">
        <is>
          <t>Pengadaan dan pemasangan otb termasuk terminasi dan penyambungan kabel optik single mode kap 96 core serta adapter (sc connector), pigtail dan protection sleeve pada cassette/box</t>
        </is>
      </c>
      <c r="D200" s="35" t="inlineStr">
        <is>
          <t>pcs</t>
        </is>
      </c>
      <c r="E200" s="37" t="n">
        <v>5442197</v>
      </c>
      <c r="F200" s="37" t="n">
        <v>5937154</v>
      </c>
      <c r="G200" s="68" t="n"/>
      <c r="H200" s="68">
        <f>E200*G200</f>
        <v/>
      </c>
      <c r="I200" s="68">
        <f>F200*G200</f>
        <v/>
      </c>
      <c r="J200" s="68">
        <f>SUM(H200:I200)</f>
        <v/>
      </c>
      <c r="K200" s="43" t="n"/>
    </row>
    <row r="201" hidden="1" ht="43.5" customHeight="1">
      <c r="A201" s="35" t="n">
        <v>193</v>
      </c>
      <c r="B201" s="40" t="inlineStr">
        <is>
          <t>M-TC-SM-96</t>
        </is>
      </c>
      <c r="C201" s="36" t="inlineStr">
        <is>
          <t>Pengadaan dan pemasangan otb termasuk terminasi dan penyambungan kabel optik single mode kap 96 core serta adapter (sc connector), pigtail dan protection sleeve pada cassette/box</t>
        </is>
      </c>
      <c r="D201" s="35" t="inlineStr">
        <is>
          <t>pcs</t>
        </is>
      </c>
      <c r="E201" s="37" t="n">
        <v>5442197</v>
      </c>
      <c r="F201" s="42" t="n">
        <v>0</v>
      </c>
      <c r="G201" s="68" t="n"/>
      <c r="H201" s="68">
        <f>E201*G201</f>
        <v/>
      </c>
      <c r="I201" s="68">
        <f>F201*G201</f>
        <v/>
      </c>
      <c r="J201" s="68">
        <f>SUM(H201:I201)</f>
        <v/>
      </c>
      <c r="K201" s="43" t="n"/>
    </row>
    <row r="202" hidden="1" ht="43.5" customHeight="1">
      <c r="A202" s="35" t="n">
        <v>194</v>
      </c>
      <c r="B202" s="40" t="inlineStr">
        <is>
          <t>J-TC-SM-96</t>
        </is>
      </c>
      <c r="C202" s="36" t="inlineStr">
        <is>
          <t>Pengadaan dan pemasangan otb termasuk terminasi dan penyambungan kabel optik single mode kap 96 core serta adapter (sc connector), pigtail dan protection sleeve pada cassette/box</t>
        </is>
      </c>
      <c r="D202" s="35" t="inlineStr">
        <is>
          <t>pcs</t>
        </is>
      </c>
      <c r="E202" s="42" t="n">
        <v>0</v>
      </c>
      <c r="F202" s="37" t="n">
        <v>5937154</v>
      </c>
      <c r="G202" s="68" t="n"/>
      <c r="H202" s="68">
        <f>E202*G202</f>
        <v/>
      </c>
      <c r="I202" s="68">
        <f>F202*G202</f>
        <v/>
      </c>
      <c r="J202" s="68">
        <f>SUM(H202:I202)</f>
        <v/>
      </c>
      <c r="K202" s="43" t="n"/>
    </row>
    <row r="203" hidden="1" ht="29" customHeight="1">
      <c r="A203" s="35" t="n">
        <v>195</v>
      </c>
      <c r="B203" s="35" t="inlineStr">
        <is>
          <t>PS-1-2-ODC</t>
        </is>
      </c>
      <c r="C203" s="36" t="inlineStr">
        <is>
          <t>Pengadaan dan pemasangan passive splitter 1:2, type modular sc/upc, for odc, termasuk pigtail</t>
        </is>
      </c>
      <c r="D203" s="35" t="inlineStr">
        <is>
          <t>pcs</t>
        </is>
      </c>
      <c r="E203" s="37" t="n">
        <v>269106</v>
      </c>
      <c r="F203" s="37" t="n">
        <v>34000</v>
      </c>
      <c r="G203" s="68" t="n"/>
      <c r="H203" s="68">
        <f>E203*G203</f>
        <v/>
      </c>
      <c r="I203" s="68">
        <f>F203*G203</f>
        <v/>
      </c>
      <c r="J203" s="68">
        <f>SUM(H203:I203)</f>
        <v/>
      </c>
      <c r="K203" s="43" t="n"/>
    </row>
    <row r="204" hidden="1" ht="29" customHeight="1">
      <c r="A204" s="35" t="n">
        <v>196</v>
      </c>
      <c r="B204" s="40" t="inlineStr">
        <is>
          <t>M-PS-1-2-ODC</t>
        </is>
      </c>
      <c r="C204" s="36" t="inlineStr">
        <is>
          <t>Pengadaan dan pemasangan passive splitter 1:2, type modular sc/upc, for odc, termasuk pigtail</t>
        </is>
      </c>
      <c r="D204" s="35" t="inlineStr">
        <is>
          <t>pcs</t>
        </is>
      </c>
      <c r="E204" s="37" t="n">
        <v>269106</v>
      </c>
      <c r="F204" s="42" t="n">
        <v>0</v>
      </c>
      <c r="G204" s="68" t="n"/>
      <c r="H204" s="68">
        <f>E204*G204</f>
        <v/>
      </c>
      <c r="I204" s="68">
        <f>F204*G204</f>
        <v/>
      </c>
      <c r="J204" s="68">
        <f>SUM(H204:I204)</f>
        <v/>
      </c>
      <c r="K204" s="43" t="n"/>
    </row>
    <row r="205" hidden="1" ht="29" customHeight="1">
      <c r="A205" s="35" t="n">
        <v>197</v>
      </c>
      <c r="B205" s="40" t="inlineStr">
        <is>
          <t>J-PS-1-2-ODC</t>
        </is>
      </c>
      <c r="C205" s="36" t="inlineStr">
        <is>
          <t>Pengadaan dan pemasangan passive splitter 1:2, type modular sc/upc, for odc, termasuk pigtail</t>
        </is>
      </c>
      <c r="D205" s="35" t="inlineStr">
        <is>
          <t>pcs</t>
        </is>
      </c>
      <c r="E205" s="42" t="n">
        <v>0</v>
      </c>
      <c r="F205" s="37" t="n">
        <v>34000</v>
      </c>
      <c r="G205" s="68" t="n"/>
      <c r="H205" s="68">
        <f>E205*G205</f>
        <v/>
      </c>
      <c r="I205" s="68">
        <f>F205*G205</f>
        <v/>
      </c>
      <c r="J205" s="68">
        <f>SUM(H205:I205)</f>
        <v/>
      </c>
      <c r="K205" s="43" t="n"/>
    </row>
    <row r="206" ht="29" customHeight="1">
      <c r="A206" s="35" t="n">
        <v>198</v>
      </c>
      <c r="B206" s="35" t="inlineStr">
        <is>
          <t>PS-1-4-ODC</t>
        </is>
      </c>
      <c r="C206" s="36" t="inlineStr">
        <is>
          <t>Pengadaan dan pemasangan passive splitter 1:4, type modular sc/upc, for odc, termasuk pigtail</t>
        </is>
      </c>
      <c r="D206" s="35" t="inlineStr">
        <is>
          <t>pcs</t>
        </is>
      </c>
      <c r="E206" s="37" t="n">
        <v>335625</v>
      </c>
      <c r="F206" s="37" t="n">
        <v>35220</v>
      </c>
      <c r="G206" s="68" t="n">
        <v>1</v>
      </c>
      <c r="H206" s="68">
        <f>E206*G206</f>
        <v/>
      </c>
      <c r="I206" s="68">
        <f>F206*G206</f>
        <v/>
      </c>
      <c r="J206" s="68">
        <f>SUM(H206:I206)</f>
        <v/>
      </c>
      <c r="K206" s="43" t="n"/>
    </row>
    <row r="207" hidden="1" ht="29" customHeight="1">
      <c r="A207" s="35" t="n">
        <v>199</v>
      </c>
      <c r="B207" s="40" t="inlineStr">
        <is>
          <t>M-PS-1-4-ODC</t>
        </is>
      </c>
      <c r="C207" s="36" t="inlineStr">
        <is>
          <t>Pengadaan dan pemasangan passive splitter 1:4, type modular sc/upc, for odc, termasuk pigtail</t>
        </is>
      </c>
      <c r="D207" s="35" t="inlineStr">
        <is>
          <t>pcs</t>
        </is>
      </c>
      <c r="E207" s="37" t="n">
        <v>335625</v>
      </c>
      <c r="F207" s="42" t="n">
        <v>0</v>
      </c>
      <c r="G207" s="68" t="n"/>
      <c r="H207" s="68">
        <f>E207*G207</f>
        <v/>
      </c>
      <c r="I207" s="68">
        <f>F207*G207</f>
        <v/>
      </c>
      <c r="J207" s="68">
        <f>SUM(H207:I207)</f>
        <v/>
      </c>
      <c r="K207" s="43" t="n"/>
    </row>
    <row r="208" hidden="1" ht="29" customHeight="1">
      <c r="A208" s="35" t="n">
        <v>200</v>
      </c>
      <c r="B208" s="40" t="inlineStr">
        <is>
          <t>J-PS-1-4-ODC</t>
        </is>
      </c>
      <c r="C208" s="36" t="inlineStr">
        <is>
          <t>Pengadaan dan pemasangan passive splitter 1:4, type modular sc/upc, for odc, termasuk pigtail</t>
        </is>
      </c>
      <c r="D208" s="35" t="inlineStr">
        <is>
          <t>pcs</t>
        </is>
      </c>
      <c r="E208" s="42" t="n">
        <v>0</v>
      </c>
      <c r="F208" s="37" t="n">
        <v>35220</v>
      </c>
      <c r="G208" s="68" t="n"/>
      <c r="H208" s="68">
        <f>E208*G208</f>
        <v/>
      </c>
      <c r="I208" s="68">
        <f>F208*G208</f>
        <v/>
      </c>
      <c r="J208" s="68">
        <f>SUM(H208:I208)</f>
        <v/>
      </c>
      <c r="K208" s="39" t="n"/>
    </row>
    <row r="209" hidden="1" ht="29" customHeight="1">
      <c r="A209" s="35" t="n">
        <v>201</v>
      </c>
      <c r="B209" s="35" t="inlineStr">
        <is>
          <t>PS-1-8-ODX</t>
        </is>
      </c>
      <c r="C209" s="36" t="inlineStr">
        <is>
          <t>Pengadaan dan pemasangan passive splitter 1:8, type modular sc/upc, for odp, termasuk pigtail</t>
        </is>
      </c>
      <c r="D209" s="35" t="inlineStr">
        <is>
          <t>pcs</t>
        </is>
      </c>
      <c r="E209" s="37" t="n">
        <v>260935</v>
      </c>
      <c r="F209" s="37" t="n">
        <v>34000</v>
      </c>
      <c r="G209" s="68" t="n"/>
      <c r="H209" s="68">
        <f>E209*G209</f>
        <v/>
      </c>
      <c r="I209" s="68">
        <f>F209*G209</f>
        <v/>
      </c>
      <c r="J209" s="68">
        <f>SUM(H209:I209)</f>
        <v/>
      </c>
      <c r="K209" s="39" t="n"/>
    </row>
    <row r="210" hidden="1" ht="29" customHeight="1">
      <c r="A210" s="35" t="n">
        <v>202</v>
      </c>
      <c r="B210" s="40" t="inlineStr">
        <is>
          <t>M-PS-1-8-ODX</t>
        </is>
      </c>
      <c r="C210" s="36" t="inlineStr">
        <is>
          <t>Pengadaan dan pemasangan passive splitter 1:8, type modular sc/upc, for odp, termasuk pigtail</t>
        </is>
      </c>
      <c r="D210" s="35" t="inlineStr">
        <is>
          <t>pcs</t>
        </is>
      </c>
      <c r="E210" s="37" t="n">
        <v>260935</v>
      </c>
      <c r="F210" s="42" t="n">
        <v>0</v>
      </c>
      <c r="G210" s="68" t="n"/>
      <c r="H210" s="68">
        <f>E210*G210</f>
        <v/>
      </c>
      <c r="I210" s="68">
        <f>F210*G210</f>
        <v/>
      </c>
      <c r="J210" s="68">
        <f>SUM(H210:I210)</f>
        <v/>
      </c>
      <c r="K210" s="39" t="n"/>
    </row>
    <row r="211" hidden="1" ht="29" customHeight="1">
      <c r="A211" s="35" t="n">
        <v>203</v>
      </c>
      <c r="B211" s="40" t="inlineStr">
        <is>
          <t>J-PS-1-8-ODX</t>
        </is>
      </c>
      <c r="C211" s="36" t="inlineStr">
        <is>
          <t>Pengadaan dan pemasangan passive splitter 1:8, type modular sc/upc, for odp, termasuk pigtail</t>
        </is>
      </c>
      <c r="D211" s="35" t="inlineStr">
        <is>
          <t>pcs</t>
        </is>
      </c>
      <c r="E211" s="42" t="n">
        <v>0</v>
      </c>
      <c r="F211" s="37" t="n">
        <v>34000</v>
      </c>
      <c r="G211" s="68" t="n"/>
      <c r="H211" s="68">
        <f>E211*G211</f>
        <v/>
      </c>
      <c r="I211" s="68">
        <f>F211*G211</f>
        <v/>
      </c>
      <c r="J211" s="68">
        <f>SUM(H211:I211)</f>
        <v/>
      </c>
      <c r="K211" s="39" t="n"/>
    </row>
    <row r="212" hidden="1" ht="29" customHeight="1">
      <c r="A212" s="35" t="n">
        <v>204</v>
      </c>
      <c r="B212" s="35" t="inlineStr">
        <is>
          <t>PS-1-8-ODX-S</t>
        </is>
      </c>
      <c r="C212" s="36" t="inlineStr">
        <is>
          <t>Pengadaan dan pemasangan passive splitter solid 1:8, type solid sc/upc, for odp, termasuk pigtail</t>
        </is>
      </c>
      <c r="D212" s="35" t="inlineStr">
        <is>
          <t>pcs</t>
        </is>
      </c>
      <c r="E212" s="37" t="n">
        <v>211885</v>
      </c>
      <c r="F212" s="37" t="n">
        <v>34000</v>
      </c>
      <c r="G212" s="68" t="n"/>
      <c r="H212" s="68">
        <f>E212*G212</f>
        <v/>
      </c>
      <c r="I212" s="68">
        <f>F212*G212</f>
        <v/>
      </c>
      <c r="J212" s="68">
        <f>SUM(H212:I212)</f>
        <v/>
      </c>
      <c r="K212" s="39" t="n"/>
    </row>
    <row r="213" hidden="1" ht="29" customHeight="1">
      <c r="A213" s="35" t="n">
        <v>205</v>
      </c>
      <c r="B213" s="40" t="inlineStr">
        <is>
          <t>M-PS-1-8-ODX-S</t>
        </is>
      </c>
      <c r="C213" s="36" t="inlineStr">
        <is>
          <t>Pengadaan dan pemasangan passive splitter solid 1:8, type solid sc/upc, for odp, termasuk pigtail</t>
        </is>
      </c>
      <c r="D213" s="35" t="inlineStr">
        <is>
          <t>pcs</t>
        </is>
      </c>
      <c r="E213" s="37" t="n">
        <v>211885</v>
      </c>
      <c r="F213" s="42" t="n">
        <v>0</v>
      </c>
      <c r="G213" s="68" t="n"/>
      <c r="H213" s="68">
        <f>E213*G213</f>
        <v/>
      </c>
      <c r="I213" s="68">
        <f>F213*G213</f>
        <v/>
      </c>
      <c r="J213" s="68">
        <f>SUM(H213:I213)</f>
        <v/>
      </c>
      <c r="K213" s="39" t="n"/>
    </row>
    <row r="214" hidden="1" ht="29" customHeight="1">
      <c r="A214" s="35" t="n">
        <v>206</v>
      </c>
      <c r="B214" s="40" t="inlineStr">
        <is>
          <t>J-PS-1-8-ODX-S</t>
        </is>
      </c>
      <c r="C214" s="36" t="inlineStr">
        <is>
          <t>Pengadaan dan pemasangan passive splitter solid 1:8, type solid sc/upc, for odp, termasuk pigtail</t>
        </is>
      </c>
      <c r="D214" s="35" t="inlineStr">
        <is>
          <t>pcs</t>
        </is>
      </c>
      <c r="E214" s="42" t="n">
        <v>0</v>
      </c>
      <c r="F214" s="37" t="n">
        <v>34000</v>
      </c>
      <c r="G214" s="68" t="n"/>
      <c r="H214" s="68">
        <f>E214*G214</f>
        <v/>
      </c>
      <c r="I214" s="68">
        <f>F214*G214</f>
        <v/>
      </c>
      <c r="J214" s="68">
        <f>SUM(H214:I214)</f>
        <v/>
      </c>
      <c r="K214" s="39" t="n"/>
    </row>
    <row r="215" hidden="1" ht="29" customHeight="1">
      <c r="A215" s="35" t="n">
        <v>207</v>
      </c>
      <c r="B215" s="35" t="inlineStr">
        <is>
          <t>PS-1-16-ODP</t>
        </is>
      </c>
      <c r="C215" s="36" t="inlineStr">
        <is>
          <t>Pengadaan dan pemasangan passive splitter 1:16, type modular sc/upc, for odp, termasuk pigtail</t>
        </is>
      </c>
      <c r="D215" s="35" t="inlineStr">
        <is>
          <t>pcs</t>
        </is>
      </c>
      <c r="E215" s="37" t="n">
        <v>438660</v>
      </c>
      <c r="F215" s="37" t="n">
        <v>34000</v>
      </c>
      <c r="G215" s="68" t="n"/>
      <c r="H215" s="68">
        <f>E215*G215</f>
        <v/>
      </c>
      <c r="I215" s="68">
        <f>F215*G215</f>
        <v/>
      </c>
      <c r="J215" s="68">
        <f>SUM(H215:I215)</f>
        <v/>
      </c>
      <c r="K215" s="39" t="n"/>
    </row>
    <row r="216" hidden="1" ht="29" customHeight="1">
      <c r="A216" s="35" t="n">
        <v>208</v>
      </c>
      <c r="B216" s="40" t="inlineStr">
        <is>
          <t>M-PS-1-16-ODP</t>
        </is>
      </c>
      <c r="C216" s="36" t="inlineStr">
        <is>
          <t>Pengadaan dan pemasangan passive splitter 1:16, type modular sc/upc, for odp, termasuk pigtail</t>
        </is>
      </c>
      <c r="D216" s="35" t="inlineStr">
        <is>
          <t>pcs</t>
        </is>
      </c>
      <c r="E216" s="37" t="n">
        <v>438660</v>
      </c>
      <c r="F216" s="42" t="n">
        <v>0</v>
      </c>
      <c r="G216" s="68" t="n"/>
      <c r="H216" s="68">
        <f>E216*G216</f>
        <v/>
      </c>
      <c r="I216" s="68">
        <f>F216*G216</f>
        <v/>
      </c>
      <c r="J216" s="68">
        <f>SUM(H216:I216)</f>
        <v/>
      </c>
      <c r="K216" s="43" t="n"/>
    </row>
    <row r="217" hidden="1" ht="29" customHeight="1">
      <c r="A217" s="35" t="n">
        <v>209</v>
      </c>
      <c r="B217" s="40" t="inlineStr">
        <is>
          <t>J-PS-1-16-ODP</t>
        </is>
      </c>
      <c r="C217" s="36" t="inlineStr">
        <is>
          <t>Pengadaan dan pemasangan passive splitter 1:16, type modular sc/upc, for odp, termasuk pigtail</t>
        </is>
      </c>
      <c r="D217" s="35" t="inlineStr">
        <is>
          <t>pcs</t>
        </is>
      </c>
      <c r="E217" s="42" t="n">
        <v>0</v>
      </c>
      <c r="F217" s="37" t="n">
        <v>34000</v>
      </c>
      <c r="G217" s="68" t="n"/>
      <c r="H217" s="68">
        <f>E217*G217</f>
        <v/>
      </c>
      <c r="I217" s="68">
        <f>F217*G217</f>
        <v/>
      </c>
      <c r="J217" s="68">
        <f>SUM(H217:I217)</f>
        <v/>
      </c>
      <c r="K217" s="39" t="n"/>
    </row>
    <row r="218" hidden="1" ht="29" customHeight="1">
      <c r="A218" s="35" t="n">
        <v>210</v>
      </c>
      <c r="B218" s="35" t="inlineStr">
        <is>
          <t>PS-1-16-ODP-S</t>
        </is>
      </c>
      <c r="C218" s="36" t="inlineStr">
        <is>
          <t>Pengadaan dan pemasangan passive splitter solid 1:16, type solid sc/upc, for odp, termasuk pigtail</t>
        </is>
      </c>
      <c r="D218" s="35" t="inlineStr">
        <is>
          <t>pcs</t>
        </is>
      </c>
      <c r="E218" s="37" t="n">
        <v>356201</v>
      </c>
      <c r="F218" s="37" t="n">
        <v>34000</v>
      </c>
      <c r="G218" s="68" t="n"/>
      <c r="H218" s="68">
        <f>E218*G218</f>
        <v/>
      </c>
      <c r="I218" s="68">
        <f>F218*G218</f>
        <v/>
      </c>
      <c r="J218" s="68">
        <f>SUM(H218:I218)</f>
        <v/>
      </c>
      <c r="K218" s="43" t="n"/>
    </row>
    <row r="219" hidden="1" ht="29" customHeight="1">
      <c r="A219" s="35" t="n">
        <v>211</v>
      </c>
      <c r="B219" s="40" t="inlineStr">
        <is>
          <t>M-PS-1-16-ODP-S</t>
        </is>
      </c>
      <c r="C219" s="36" t="inlineStr">
        <is>
          <t>Pengadaan dan pemasangan passive splitter solid 1:16, type solid sc/upc, for odp, termasuk pigtail</t>
        </is>
      </c>
      <c r="D219" s="35" t="inlineStr">
        <is>
          <t>pcs</t>
        </is>
      </c>
      <c r="E219" s="37" t="n">
        <v>356201</v>
      </c>
      <c r="F219" s="42" t="n">
        <v>0</v>
      </c>
      <c r="G219" s="68" t="n"/>
      <c r="H219" s="68">
        <f>E219*G219</f>
        <v/>
      </c>
      <c r="I219" s="68">
        <f>F219*G219</f>
        <v/>
      </c>
      <c r="J219" s="68">
        <f>SUM(H219:I219)</f>
        <v/>
      </c>
      <c r="K219" s="43" t="n"/>
    </row>
    <row r="220" hidden="1" ht="29" customHeight="1">
      <c r="A220" s="35" t="n">
        <v>212</v>
      </c>
      <c r="B220" s="40" t="inlineStr">
        <is>
          <t>J-PS-1-16-ODP-S</t>
        </is>
      </c>
      <c r="C220" s="36" t="inlineStr">
        <is>
          <t>Pengadaan dan pemasangan passive splitter solid 1:16, type solid sc/upc, for odp, termasuk pigtail</t>
        </is>
      </c>
      <c r="D220" s="35" t="inlineStr">
        <is>
          <t>pcs</t>
        </is>
      </c>
      <c r="E220" s="42" t="n">
        <v>0</v>
      </c>
      <c r="F220" s="37" t="n">
        <v>34000</v>
      </c>
      <c r="G220" s="68" t="n"/>
      <c r="H220" s="68">
        <f>E220*G220</f>
        <v/>
      </c>
      <c r="I220" s="68">
        <f>F220*G220</f>
        <v/>
      </c>
      <c r="J220" s="68">
        <f>SUM(H220:I220)</f>
        <v/>
      </c>
      <c r="K220" s="43" t="n"/>
    </row>
    <row r="221" hidden="1" ht="29" customHeight="1">
      <c r="A221" s="35" t="n">
        <v>213</v>
      </c>
      <c r="B221" s="35" t="inlineStr">
        <is>
          <t>PS-2-2-ODC</t>
        </is>
      </c>
      <c r="C221" s="36" t="inlineStr">
        <is>
          <t>Pengadaan dan pemasangan passive splitter 2:2, type modular sc/upc, for odc, termasuk pigtail</t>
        </is>
      </c>
      <c r="D221" s="35" t="inlineStr">
        <is>
          <t>pcs</t>
        </is>
      </c>
      <c r="E221" s="37" t="n">
        <v>692045</v>
      </c>
      <c r="F221" s="37" t="n">
        <v>34247</v>
      </c>
      <c r="G221" s="68" t="n"/>
      <c r="H221" s="68">
        <f>E221*G221</f>
        <v/>
      </c>
      <c r="I221" s="68">
        <f>F221*G221</f>
        <v/>
      </c>
      <c r="J221" s="68">
        <f>SUM(H221:I221)</f>
        <v/>
      </c>
      <c r="K221" s="43" t="n"/>
    </row>
    <row r="222" hidden="1" ht="29" customHeight="1">
      <c r="A222" s="35" t="n">
        <v>214</v>
      </c>
      <c r="B222" s="40" t="inlineStr">
        <is>
          <t>M-PS-2-2-ODC</t>
        </is>
      </c>
      <c r="C222" s="36" t="inlineStr">
        <is>
          <t>Pengadaan dan pemasangan passive splitter 2:2, type modular sc/upc, for odc, termasuk pigtail</t>
        </is>
      </c>
      <c r="D222" s="35" t="inlineStr">
        <is>
          <t>pcs</t>
        </is>
      </c>
      <c r="E222" s="37" t="n">
        <v>692045</v>
      </c>
      <c r="F222" s="42" t="n">
        <v>0</v>
      </c>
      <c r="G222" s="68" t="n"/>
      <c r="H222" s="68">
        <f>E222*G222</f>
        <v/>
      </c>
      <c r="I222" s="68">
        <f>F222*G222</f>
        <v/>
      </c>
      <c r="J222" s="68">
        <f>SUM(H222:I222)</f>
        <v/>
      </c>
      <c r="K222" s="43" t="n"/>
    </row>
    <row r="223" hidden="1" ht="29" customHeight="1">
      <c r="A223" s="35" t="n">
        <v>215</v>
      </c>
      <c r="B223" s="40" t="inlineStr">
        <is>
          <t>J-PS-2-2-ODC</t>
        </is>
      </c>
      <c r="C223" s="36" t="inlineStr">
        <is>
          <t>Pengadaan dan pemasangan passive splitter 2:2, type modular sc/upc, for odc, termasuk pigtail</t>
        </is>
      </c>
      <c r="D223" s="35" t="inlineStr">
        <is>
          <t>pcs</t>
        </is>
      </c>
      <c r="E223" s="42" t="n">
        <v>0</v>
      </c>
      <c r="F223" s="37" t="n">
        <v>34247</v>
      </c>
      <c r="G223" s="68" t="n"/>
      <c r="H223" s="68">
        <f>E223*G223</f>
        <v/>
      </c>
      <c r="I223" s="68">
        <f>F223*G223</f>
        <v/>
      </c>
      <c r="J223" s="68">
        <f>SUM(H223:I223)</f>
        <v/>
      </c>
      <c r="K223" s="43" t="n"/>
    </row>
    <row r="224" hidden="1" ht="29" customHeight="1">
      <c r="A224" s="35" t="n">
        <v>216</v>
      </c>
      <c r="B224" s="35" t="inlineStr">
        <is>
          <t>PS-2-4-ODC</t>
        </is>
      </c>
      <c r="C224" s="36" t="inlineStr">
        <is>
          <t>Pengadaan dan pemasangan passive splitter 2:4, type modular sc/upc, for odc, termasuk pigtail</t>
        </is>
      </c>
      <c r="D224" s="35" t="inlineStr">
        <is>
          <t>pcs</t>
        </is>
      </c>
      <c r="E224" s="37" t="n">
        <v>816840</v>
      </c>
      <c r="F224" s="37" t="n">
        <v>34247</v>
      </c>
      <c r="G224" s="68" t="n"/>
      <c r="H224" s="68">
        <f>E224*G224</f>
        <v/>
      </c>
      <c r="I224" s="68">
        <f>F224*G224</f>
        <v/>
      </c>
      <c r="J224" s="68">
        <f>SUM(H224:I224)</f>
        <v/>
      </c>
      <c r="K224" s="43" t="n"/>
    </row>
    <row r="225" hidden="1" ht="29" customHeight="1">
      <c r="A225" s="35" t="n">
        <v>217</v>
      </c>
      <c r="B225" s="40" t="inlineStr">
        <is>
          <t>M-PS-2-4-ODC</t>
        </is>
      </c>
      <c r="C225" s="36" t="inlineStr">
        <is>
          <t>Pengadaan dan pemasangan passive splitter 2:4, type modular sc/upc, for odc, termasuk pigtail</t>
        </is>
      </c>
      <c r="D225" s="35" t="inlineStr">
        <is>
          <t>pcs</t>
        </is>
      </c>
      <c r="E225" s="37" t="n">
        <v>816840</v>
      </c>
      <c r="F225" s="42" t="n">
        <v>0</v>
      </c>
      <c r="G225" s="68" t="n"/>
      <c r="H225" s="68">
        <f>E225*G225</f>
        <v/>
      </c>
      <c r="I225" s="68">
        <f>F225*G225</f>
        <v/>
      </c>
      <c r="J225" s="68">
        <f>SUM(H225:I225)</f>
        <v/>
      </c>
      <c r="K225" s="43" t="n"/>
    </row>
    <row r="226" hidden="1" ht="29" customHeight="1">
      <c r="A226" s="35" t="n">
        <v>218</v>
      </c>
      <c r="B226" s="40" t="inlineStr">
        <is>
          <t>J-PS-2-4-ODC</t>
        </is>
      </c>
      <c r="C226" s="36" t="inlineStr">
        <is>
          <t>Pengadaan dan pemasangan passive splitter 2:4, type modular sc/upc, for odc, termasuk pigtail</t>
        </is>
      </c>
      <c r="D226" s="35" t="inlineStr">
        <is>
          <t>pcs</t>
        </is>
      </c>
      <c r="E226" s="42" t="n">
        <v>0</v>
      </c>
      <c r="F226" s="37" t="n">
        <v>34247</v>
      </c>
      <c r="G226" s="68" t="n"/>
      <c r="H226" s="68">
        <f>E226*G226</f>
        <v/>
      </c>
      <c r="I226" s="68">
        <f>F226*G226</f>
        <v/>
      </c>
      <c r="J226" s="68">
        <f>SUM(H226:I226)</f>
        <v/>
      </c>
      <c r="K226" s="43" t="n"/>
    </row>
    <row r="227" hidden="1" ht="29" customHeight="1">
      <c r="A227" s="35" t="n">
        <v>219</v>
      </c>
      <c r="B227" s="35" t="inlineStr">
        <is>
          <t>PS-2-8-ODX</t>
        </is>
      </c>
      <c r="C227" s="36" t="inlineStr">
        <is>
          <t>Pengadaan dan pemasangan passive splitter 2:8, type modular sc/upc, for odc, termasuk pigtail</t>
        </is>
      </c>
      <c r="D227" s="35" t="inlineStr">
        <is>
          <t>pcs</t>
        </is>
      </c>
      <c r="E227" s="37" t="n">
        <v>720000</v>
      </c>
      <c r="F227" s="37" t="n">
        <v>35000</v>
      </c>
      <c r="G227" s="68" t="n"/>
      <c r="H227" s="68">
        <f>E227*G227</f>
        <v/>
      </c>
      <c r="I227" s="68">
        <f>F227*G227</f>
        <v/>
      </c>
      <c r="J227" s="68">
        <f>SUM(H227:I227)</f>
        <v/>
      </c>
      <c r="K227" s="39" t="n"/>
    </row>
    <row r="228" hidden="1" ht="29" customHeight="1">
      <c r="A228" s="35" t="n">
        <v>220</v>
      </c>
      <c r="B228" s="40" t="inlineStr">
        <is>
          <t>M-PS-2-8-ODX</t>
        </is>
      </c>
      <c r="C228" s="36" t="inlineStr">
        <is>
          <t>Pengadaan dan pemasangan passive splitter 2:8, type modular sc/upc, for odc, termasuk pigtail</t>
        </is>
      </c>
      <c r="D228" s="35" t="inlineStr">
        <is>
          <t>pcs</t>
        </is>
      </c>
      <c r="E228" s="37" t="n">
        <v>720000</v>
      </c>
      <c r="F228" s="42" t="n">
        <v>0</v>
      </c>
      <c r="G228" s="68" t="n"/>
      <c r="H228" s="68">
        <f>E228*G228</f>
        <v/>
      </c>
      <c r="I228" s="68">
        <f>F228*G228</f>
        <v/>
      </c>
      <c r="J228" s="68">
        <f>SUM(H228:I228)</f>
        <v/>
      </c>
      <c r="K228" s="39" t="n"/>
      <c r="M228" s="12" t="inlineStr">
        <is>
          <t>PT4 STO, PT4 BRANCHING</t>
        </is>
      </c>
    </row>
    <row r="229" hidden="1" ht="29" customHeight="1">
      <c r="A229" s="35" t="n">
        <v>221</v>
      </c>
      <c r="B229" s="40" t="inlineStr">
        <is>
          <t>J-PS-2-8-ODX</t>
        </is>
      </c>
      <c r="C229" s="36" t="inlineStr">
        <is>
          <t>Pengadaan dan pemasangan passive splitter 2:8, type modular sc/upc, for odc, termasuk pigtail</t>
        </is>
      </c>
      <c r="D229" s="35" t="inlineStr">
        <is>
          <t>pcs</t>
        </is>
      </c>
      <c r="E229" s="42" t="n">
        <v>0</v>
      </c>
      <c r="F229" s="37" t="n">
        <v>35000</v>
      </c>
      <c r="G229" s="68" t="n"/>
      <c r="H229" s="68">
        <f>E229*G229</f>
        <v/>
      </c>
      <c r="I229" s="68">
        <f>F229*G229</f>
        <v/>
      </c>
      <c r="J229" s="68">
        <f>SUM(H229:I229)</f>
        <v/>
      </c>
      <c r="K229" s="39" t="n"/>
    </row>
    <row r="230" hidden="1" ht="29" customHeight="1">
      <c r="A230" s="35" t="n">
        <v>222</v>
      </c>
      <c r="B230" s="35" t="inlineStr">
        <is>
          <t>PS-1-32-ODX</t>
        </is>
      </c>
      <c r="C230" s="36" t="inlineStr">
        <is>
          <t>Pengadaan dan pemasangan passive splitter 1:32, type modular sc/upc, for odc/odp, termasuk pigtail</t>
        </is>
      </c>
      <c r="D230" s="35" t="inlineStr">
        <is>
          <t>pcs</t>
        </is>
      </c>
      <c r="E230" s="37" t="n">
        <v>1376000</v>
      </c>
      <c r="F230" s="37" t="n">
        <v>35000</v>
      </c>
      <c r="G230" s="68" t="n"/>
      <c r="H230" s="68">
        <f>E230*G230</f>
        <v/>
      </c>
      <c r="I230" s="68">
        <f>F230*G230</f>
        <v/>
      </c>
      <c r="J230" s="68">
        <f>SUM(H230:I230)</f>
        <v/>
      </c>
      <c r="K230" s="39" t="n"/>
    </row>
    <row r="231" hidden="1" ht="29" customHeight="1">
      <c r="A231" s="35" t="n">
        <v>223</v>
      </c>
      <c r="B231" s="40" t="inlineStr">
        <is>
          <t>M-PS-1-32-ODX</t>
        </is>
      </c>
      <c r="C231" s="36" t="inlineStr">
        <is>
          <t>Pengadaan dan pemasangan passive splitter 1:32, type modular sc/upc, for odc/odp, termasuk pigtail</t>
        </is>
      </c>
      <c r="D231" s="35" t="inlineStr">
        <is>
          <t>pcs</t>
        </is>
      </c>
      <c r="E231" s="37" t="n">
        <v>1376000</v>
      </c>
      <c r="F231" s="42" t="n">
        <v>0</v>
      </c>
      <c r="G231" s="68" t="n"/>
      <c r="H231" s="68">
        <f>E231*G231</f>
        <v/>
      </c>
      <c r="I231" s="68">
        <f>F231*G231</f>
        <v/>
      </c>
      <c r="J231" s="68">
        <f>SUM(H231:I231)</f>
        <v/>
      </c>
      <c r="K231" s="43" t="n"/>
    </row>
    <row r="232" hidden="1" ht="29" customHeight="1">
      <c r="A232" s="35" t="n">
        <v>224</v>
      </c>
      <c r="B232" s="40" t="inlineStr">
        <is>
          <t>J-PS-1-32-ODX</t>
        </is>
      </c>
      <c r="C232" s="36" t="inlineStr">
        <is>
          <t>Pengadaan dan pemasangan passive splitter 1:32, type modular sc/upc, for odc/odp, termasuk pigtail</t>
        </is>
      </c>
      <c r="D232" s="35" t="inlineStr">
        <is>
          <t>pcs</t>
        </is>
      </c>
      <c r="E232" s="42" t="n">
        <v>0</v>
      </c>
      <c r="F232" s="37" t="n">
        <v>35000</v>
      </c>
      <c r="G232" s="68" t="n"/>
      <c r="H232" s="68">
        <f>E232*G232</f>
        <v/>
      </c>
      <c r="I232" s="68">
        <f>F232*G232</f>
        <v/>
      </c>
      <c r="J232" s="68">
        <f>SUM(H232:I232)</f>
        <v/>
      </c>
      <c r="K232" s="43" t="n"/>
    </row>
    <row r="233" hidden="1" ht="14.5" customHeight="1">
      <c r="A233" s="35" t="n">
        <v>225</v>
      </c>
      <c r="B233" s="35" t="inlineStr">
        <is>
          <t>SITAC ODC</t>
        </is>
      </c>
      <c r="C233" s="36" t="inlineStr">
        <is>
          <t>Akuisisi lahan sitac odc</t>
        </is>
      </c>
      <c r="D233" s="35" t="inlineStr">
        <is>
          <t>Node</t>
        </is>
      </c>
      <c r="E233" s="37" t="n">
        <v>0</v>
      </c>
      <c r="F233" s="37" t="n">
        <v>7421442</v>
      </c>
      <c r="G233" s="68" t="n"/>
      <c r="H233" s="68">
        <f>E233*G233</f>
        <v/>
      </c>
      <c r="I233" s="68">
        <f>F233*G233</f>
        <v/>
      </c>
      <c r="J233" s="68">
        <f>SUM(H233:I233)</f>
        <v/>
      </c>
      <c r="K233" s="43" t="n"/>
    </row>
    <row r="234" hidden="1" ht="14.5" customHeight="1">
      <c r="A234" s="35" t="n">
        <v>226</v>
      </c>
      <c r="B234" s="40" t="inlineStr">
        <is>
          <t>J-SITAC ODC</t>
        </is>
      </c>
      <c r="C234" s="36" t="inlineStr">
        <is>
          <t>Akuisisi lahan sitac odc</t>
        </is>
      </c>
      <c r="D234" s="35" t="inlineStr">
        <is>
          <t>Node</t>
        </is>
      </c>
      <c r="E234" s="42" t="n">
        <v>0</v>
      </c>
      <c r="F234" s="37" t="n">
        <v>7421442</v>
      </c>
      <c r="G234" s="68" t="n"/>
      <c r="H234" s="68">
        <f>E234*G234</f>
        <v/>
      </c>
      <c r="I234" s="68">
        <f>F234*G234</f>
        <v/>
      </c>
      <c r="J234" s="68">
        <f>SUM(H234:I234)</f>
        <v/>
      </c>
      <c r="K234" s="43" t="n"/>
    </row>
    <row r="235" hidden="1" ht="29" customHeight="1">
      <c r="A235" s="35" t="n">
        <v>227</v>
      </c>
      <c r="B235" s="35" t="inlineStr">
        <is>
          <t>PU-S7.0-140</t>
        </is>
      </c>
      <c r="C235" s="36" t="inlineStr">
        <is>
          <t>Pengadaan dan pemasangan tiang besi 7 meter, berikut cat &amp; cor pondasi dan assesories dengan kekuatan tarik 140 kg</t>
        </is>
      </c>
      <c r="D235" s="35" t="inlineStr">
        <is>
          <t>Unit</t>
        </is>
      </c>
      <c r="E235" s="37" t="n">
        <v>1513765</v>
      </c>
      <c r="F235" s="37" t="n">
        <v>239140</v>
      </c>
      <c r="G235" s="68" t="n"/>
      <c r="H235" s="68">
        <f>E235*G235</f>
        <v/>
      </c>
      <c r="I235" s="68">
        <f>F235*G235</f>
        <v/>
      </c>
      <c r="J235" s="68">
        <f>SUM(H235:I235)</f>
        <v/>
      </c>
      <c r="K235" s="43" t="n"/>
    </row>
    <row r="236" hidden="1" ht="29" customHeight="1">
      <c r="A236" s="35" t="n">
        <v>228</v>
      </c>
      <c r="B236" s="40" t="inlineStr">
        <is>
          <t>M-PU-S7.0-140</t>
        </is>
      </c>
      <c r="C236" s="36" t="inlineStr">
        <is>
          <t>Pengadaan dan pemasangan tiang besi 7 meter, berikut cat &amp; cor pondasi dan assesories dengan kekuatan tarik 140 kg</t>
        </is>
      </c>
      <c r="D236" s="35" t="inlineStr">
        <is>
          <t>Unit</t>
        </is>
      </c>
      <c r="E236" s="37" t="n">
        <v>1513765</v>
      </c>
      <c r="F236" s="42" t="n">
        <v>0</v>
      </c>
      <c r="G236" s="68" t="n"/>
      <c r="H236" s="68">
        <f>E236*G236</f>
        <v/>
      </c>
      <c r="I236" s="68">
        <f>F236*G236</f>
        <v/>
      </c>
      <c r="J236" s="68">
        <f>SUM(H236:I236)</f>
        <v/>
      </c>
      <c r="K236" s="43" t="n"/>
    </row>
    <row r="237" hidden="1" ht="29" customHeight="1">
      <c r="A237" s="35" t="n">
        <v>229</v>
      </c>
      <c r="B237" s="40" t="inlineStr">
        <is>
          <t>J-PU-S7.0-140</t>
        </is>
      </c>
      <c r="C237" s="36" t="inlineStr">
        <is>
          <t>Pengadaan dan pemasangan tiang besi 7 meter, berikut cat &amp; cor pondasi dan assesories dengan kekuatan tarik 140 kg</t>
        </is>
      </c>
      <c r="D237" s="35" t="inlineStr">
        <is>
          <t>Unit</t>
        </is>
      </c>
      <c r="E237" s="42" t="n">
        <v>0</v>
      </c>
      <c r="F237" s="37" t="n">
        <v>239140</v>
      </c>
      <c r="G237" s="68" t="n"/>
      <c r="H237" s="68">
        <f>E237*G237</f>
        <v/>
      </c>
      <c r="I237" s="68">
        <f>F237*G237</f>
        <v/>
      </c>
      <c r="J237" s="68">
        <f>SUM(H237:I237)</f>
        <v/>
      </c>
      <c r="K237" s="43" t="n"/>
    </row>
    <row r="238" hidden="1" ht="29" customHeight="1">
      <c r="A238" s="35" t="n">
        <v>230</v>
      </c>
      <c r="B238" s="35" t="inlineStr">
        <is>
          <t>PU-S9.0-140</t>
        </is>
      </c>
      <c r="C238" s="36" t="inlineStr">
        <is>
          <t>Pengadaan dan pemasangan tiang besi 9 meter, berikut cat &amp; cor dan assesories dengan kekuatan tarik 140 kg</t>
        </is>
      </c>
      <c r="D238" s="35" t="inlineStr">
        <is>
          <t>Unit</t>
        </is>
      </c>
      <c r="E238" s="37" t="n">
        <v>1892000</v>
      </c>
      <c r="F238" s="37" t="n">
        <v>239663</v>
      </c>
      <c r="G238" s="68" t="n"/>
      <c r="H238" s="68">
        <f>E238*G238</f>
        <v/>
      </c>
      <c r="I238" s="68">
        <f>F238*G238</f>
        <v/>
      </c>
      <c r="J238" s="68">
        <f>SUM(H238:I238)</f>
        <v/>
      </c>
      <c r="K238" s="43" t="n"/>
    </row>
    <row r="239" hidden="1" ht="29" customHeight="1">
      <c r="A239" s="35" t="n">
        <v>231</v>
      </c>
      <c r="B239" s="40" t="inlineStr">
        <is>
          <t>M-PU-S9.0-140</t>
        </is>
      </c>
      <c r="C239" s="36" t="inlineStr">
        <is>
          <t>Pengadaan dan pemasangan tiang besi 9 meter, berikut cat &amp; cor dan assesories dengan kekuatan tarik 140 kg</t>
        </is>
      </c>
      <c r="D239" s="35" t="inlineStr">
        <is>
          <t>Unit</t>
        </is>
      </c>
      <c r="E239" s="37" t="n">
        <v>1892000</v>
      </c>
      <c r="F239" s="42" t="n">
        <v>0</v>
      </c>
      <c r="G239" s="68" t="n"/>
      <c r="H239" s="68">
        <f>E239*G239</f>
        <v/>
      </c>
      <c r="I239" s="68">
        <f>F239*G239</f>
        <v/>
      </c>
      <c r="J239" s="68">
        <f>SUM(H239:I239)</f>
        <v/>
      </c>
      <c r="K239" s="43" t="n"/>
    </row>
    <row r="240" hidden="1" ht="29" customHeight="1">
      <c r="A240" s="35" t="n">
        <v>232</v>
      </c>
      <c r="B240" s="40" t="inlineStr">
        <is>
          <t>J-PU-S9.0-140</t>
        </is>
      </c>
      <c r="C240" s="36" t="inlineStr">
        <is>
          <t>Pengadaan dan pemasangan tiang besi 9 meter, berikut cat &amp; cor dan assesories dengan kekuatan tarik 140 kg</t>
        </is>
      </c>
      <c r="D240" s="35" t="inlineStr">
        <is>
          <t>Unit</t>
        </is>
      </c>
      <c r="E240" s="42" t="n">
        <v>0</v>
      </c>
      <c r="F240" s="37" t="n">
        <v>239663</v>
      </c>
      <c r="G240" s="68" t="n"/>
      <c r="H240" s="68">
        <f>E240*G240</f>
        <v/>
      </c>
      <c r="I240" s="68">
        <f>F240*G240</f>
        <v/>
      </c>
      <c r="J240" s="68">
        <f>SUM(H240:I240)</f>
        <v/>
      </c>
      <c r="K240" s="43" t="n"/>
    </row>
    <row r="241" hidden="1" ht="14.5" customHeight="1">
      <c r="A241" s="35" t="n">
        <v>233</v>
      </c>
      <c r="B241" s="35" t="inlineStr">
        <is>
          <t>GU-G</t>
        </is>
      </c>
      <c r="C241" s="36" t="inlineStr">
        <is>
          <t>Pengadaan dan pemasangan temberang tarik</t>
        </is>
      </c>
      <c r="D241" s="35" t="inlineStr">
        <is>
          <t>pcs</t>
        </is>
      </c>
      <c r="E241" s="37" t="n">
        <v>526175</v>
      </c>
      <c r="F241" s="37" t="n">
        <v>60713</v>
      </c>
      <c r="G241" s="68" t="n"/>
      <c r="H241" s="68">
        <f>E241*G241</f>
        <v/>
      </c>
      <c r="I241" s="68">
        <f>F241*G241</f>
        <v/>
      </c>
      <c r="J241" s="68">
        <f>SUM(H241:I241)</f>
        <v/>
      </c>
      <c r="K241" s="43" t="n"/>
    </row>
    <row r="242" hidden="1" ht="14.5" customHeight="1">
      <c r="A242" s="35" t="n">
        <v>234</v>
      </c>
      <c r="B242" s="40" t="inlineStr">
        <is>
          <t>M-GU-G</t>
        </is>
      </c>
      <c r="C242" s="36" t="inlineStr">
        <is>
          <t>Pengadaan dan pemasangan temberang tarik</t>
        </is>
      </c>
      <c r="D242" s="35" t="inlineStr">
        <is>
          <t>pcs</t>
        </is>
      </c>
      <c r="E242" s="37" t="n">
        <v>526175</v>
      </c>
      <c r="F242" s="42" t="n">
        <v>0</v>
      </c>
      <c r="G242" s="68" t="n"/>
      <c r="H242" s="68">
        <f>E242*G242</f>
        <v/>
      </c>
      <c r="I242" s="68">
        <f>F242*G242</f>
        <v/>
      </c>
      <c r="J242" s="68">
        <f>SUM(H242:I242)</f>
        <v/>
      </c>
      <c r="K242" s="39" t="n"/>
    </row>
    <row r="243" hidden="1" ht="14.5" customHeight="1">
      <c r="A243" s="35" t="n">
        <v>235</v>
      </c>
      <c r="B243" s="40" t="inlineStr">
        <is>
          <t>J-GU-G</t>
        </is>
      </c>
      <c r="C243" s="36" t="inlineStr">
        <is>
          <t>Pengadaan dan pemasangan temberang tarik</t>
        </is>
      </c>
      <c r="D243" s="35" t="inlineStr">
        <is>
          <t>pcs</t>
        </is>
      </c>
      <c r="E243" s="42" t="n">
        <v>0</v>
      </c>
      <c r="F243" s="37" t="n">
        <v>60713</v>
      </c>
      <c r="G243" s="68" t="n"/>
      <c r="H243" s="68">
        <f>E243*G243</f>
        <v/>
      </c>
      <c r="I243" s="68">
        <f>F243*G243</f>
        <v/>
      </c>
      <c r="J243" s="68">
        <f>SUM(H243:I243)</f>
        <v/>
      </c>
      <c r="K243" s="39" t="n"/>
    </row>
    <row r="244" hidden="1" ht="29" customHeight="1">
      <c r="A244" s="35" t="n">
        <v>236</v>
      </c>
      <c r="B244" s="35" t="inlineStr">
        <is>
          <t>GB-G1</t>
        </is>
      </c>
      <c r="C244" s="36" t="inlineStr">
        <is>
          <t>Pengadaan dan pemasangan grounding 1 titik rod pada odp /kotak pembagi dengan tahanan maks 3 ohm</t>
        </is>
      </c>
      <c r="D244" s="35" t="inlineStr">
        <is>
          <t>pcs</t>
        </is>
      </c>
      <c r="E244" s="37" t="n">
        <v>903909</v>
      </c>
      <c r="F244" s="37" t="n">
        <v>408081</v>
      </c>
      <c r="G244" s="68" t="n"/>
      <c r="H244" s="68">
        <f>E244*G244</f>
        <v/>
      </c>
      <c r="I244" s="68">
        <f>F244*G244</f>
        <v/>
      </c>
      <c r="J244" s="68">
        <f>SUM(H244:I244)</f>
        <v/>
      </c>
      <c r="K244" s="39" t="n"/>
    </row>
    <row r="245" hidden="1" ht="29" customHeight="1">
      <c r="A245" s="35" t="n">
        <v>237</v>
      </c>
      <c r="B245" s="40" t="inlineStr">
        <is>
          <t>M-GB-G1</t>
        </is>
      </c>
      <c r="C245" s="36" t="inlineStr">
        <is>
          <t>Pengadaan dan pemasangan grounding 1 titik rod pada odp /kotak pembagi dengan tahanan maks 3 ohm</t>
        </is>
      </c>
      <c r="D245" s="35" t="inlineStr">
        <is>
          <t>pcs</t>
        </is>
      </c>
      <c r="E245" s="37" t="n">
        <v>903909</v>
      </c>
      <c r="F245" s="42" t="n">
        <v>0</v>
      </c>
      <c r="G245" s="68" t="n"/>
      <c r="H245" s="68">
        <f>E245*G245</f>
        <v/>
      </c>
      <c r="I245" s="68">
        <f>F245*G245</f>
        <v/>
      </c>
      <c r="J245" s="68">
        <f>SUM(H245:I245)</f>
        <v/>
      </c>
      <c r="K245" s="43" t="n"/>
    </row>
    <row r="246" hidden="1" ht="29" customHeight="1">
      <c r="A246" s="35" t="n">
        <v>238</v>
      </c>
      <c r="B246" s="40" t="inlineStr">
        <is>
          <t>J-GB-G1</t>
        </is>
      </c>
      <c r="C246" s="36" t="inlineStr">
        <is>
          <t>Pengadaan dan pemasangan grounding 1 titik rod pada odp /kotak pembagi dengan tahanan maks 3 ohm</t>
        </is>
      </c>
      <c r="D246" s="35" t="inlineStr">
        <is>
          <t>pcs</t>
        </is>
      </c>
      <c r="E246" s="42" t="n">
        <v>0</v>
      </c>
      <c r="F246" s="37" t="n">
        <v>408081</v>
      </c>
      <c r="G246" s="68" t="n"/>
      <c r="H246" s="68">
        <f>E246*G246</f>
        <v/>
      </c>
      <c r="I246" s="68">
        <f>F246*G246</f>
        <v/>
      </c>
      <c r="J246" s="68">
        <f>SUM(H246:I246)</f>
        <v/>
      </c>
      <c r="K246" s="43" t="n"/>
    </row>
    <row r="247" hidden="1" ht="29" customHeight="1">
      <c r="A247" s="35" t="n">
        <v>239</v>
      </c>
      <c r="B247" s="35" t="inlineStr">
        <is>
          <t>GB-G3</t>
        </is>
      </c>
      <c r="C247" s="36" t="inlineStr">
        <is>
          <t>Pengadaan dan pemasangan grounding 3 titik rod pada odc dengan tahanan maks 1 ohm</t>
        </is>
      </c>
      <c r="D247" s="35" t="inlineStr">
        <is>
          <t>pcs</t>
        </is>
      </c>
      <c r="E247" s="37" t="n">
        <v>2722800</v>
      </c>
      <c r="F247" s="37" t="n">
        <v>473085</v>
      </c>
      <c r="G247" s="68" t="n"/>
      <c r="H247" s="68">
        <f>E247*G247</f>
        <v/>
      </c>
      <c r="I247" s="68">
        <f>F247*G247</f>
        <v/>
      </c>
      <c r="J247" s="68">
        <f>SUM(H247:I247)</f>
        <v/>
      </c>
      <c r="K247" s="43" t="n"/>
    </row>
    <row r="248" hidden="1" ht="29" customHeight="1">
      <c r="A248" s="35" t="n">
        <v>240</v>
      </c>
      <c r="B248" s="40" t="inlineStr">
        <is>
          <t>M-GB-G3</t>
        </is>
      </c>
      <c r="C248" s="36" t="inlineStr">
        <is>
          <t>Pengadaan dan pemasangan grounding 3 titik rod pada odc dengan tahanan maks 1 ohm</t>
        </is>
      </c>
      <c r="D248" s="35" t="inlineStr">
        <is>
          <t>pcs</t>
        </is>
      </c>
      <c r="E248" s="37" t="n">
        <v>2722800</v>
      </c>
      <c r="F248" s="42" t="n">
        <v>0</v>
      </c>
      <c r="G248" s="68" t="n"/>
      <c r="H248" s="68">
        <f>E248*G248</f>
        <v/>
      </c>
      <c r="I248" s="68">
        <f>F248*G248</f>
        <v/>
      </c>
      <c r="J248" s="68">
        <f>SUM(H248:I248)</f>
        <v/>
      </c>
      <c r="K248" s="43" t="n"/>
    </row>
    <row r="249" hidden="1" ht="29" customHeight="1">
      <c r="A249" s="35" t="n">
        <v>241</v>
      </c>
      <c r="B249" s="40" t="inlineStr">
        <is>
          <t>J-GB-G3</t>
        </is>
      </c>
      <c r="C249" s="36" t="inlineStr">
        <is>
          <t>Pengadaan dan pemasangan grounding 3 titik rod pada odc dengan tahanan maks 1 ohm</t>
        </is>
      </c>
      <c r="D249" s="35" t="inlineStr">
        <is>
          <t>pcs</t>
        </is>
      </c>
      <c r="E249" s="42" t="n">
        <v>0</v>
      </c>
      <c r="F249" s="37" t="n">
        <v>473085</v>
      </c>
      <c r="G249" s="68" t="n"/>
      <c r="H249" s="68">
        <f>E249*G249</f>
        <v/>
      </c>
      <c r="I249" s="68">
        <f>F249*G249</f>
        <v/>
      </c>
      <c r="J249" s="68">
        <f>SUM(H249:I249)</f>
        <v/>
      </c>
      <c r="K249" s="43" t="n"/>
    </row>
    <row r="250" hidden="1" ht="29" customHeight="1">
      <c r="A250" s="35" t="n">
        <v>242</v>
      </c>
      <c r="B250" s="35" t="inlineStr">
        <is>
          <t>GB-G-INTG</t>
        </is>
      </c>
      <c r="C250" s="36" t="inlineStr">
        <is>
          <t>Pengadaan dan pemasangan material grounding di lokasi gedung eksisting dengan cara integrasi</t>
        </is>
      </c>
      <c r="D250" s="35" t="inlineStr">
        <is>
          <t>pcs</t>
        </is>
      </c>
      <c r="E250" s="37" t="n">
        <v>273437</v>
      </c>
      <c r="F250" s="37" t="n">
        <v>164419</v>
      </c>
      <c r="G250" s="68" t="n"/>
      <c r="H250" s="68">
        <f>E250*G250</f>
        <v/>
      </c>
      <c r="I250" s="68">
        <f>F250*G250</f>
        <v/>
      </c>
      <c r="J250" s="68">
        <f>SUM(H250:I250)</f>
        <v/>
      </c>
      <c r="K250" s="43" t="n"/>
    </row>
    <row r="251" hidden="1" ht="29" customHeight="1">
      <c r="A251" s="35" t="n">
        <v>243</v>
      </c>
      <c r="B251" s="40" t="inlineStr">
        <is>
          <t>M-GB-G-INTG</t>
        </is>
      </c>
      <c r="C251" s="36" t="inlineStr">
        <is>
          <t>Pengadaan dan pemasangan material grounding di lokasi gedung eksisting dengan cara integrasi</t>
        </is>
      </c>
      <c r="D251" s="35" t="inlineStr">
        <is>
          <t>pcs</t>
        </is>
      </c>
      <c r="E251" s="37" t="n">
        <v>273437</v>
      </c>
      <c r="F251" s="42" t="n">
        <v>0</v>
      </c>
      <c r="G251" s="68" t="n"/>
      <c r="H251" s="68">
        <f>E251*G251</f>
        <v/>
      </c>
      <c r="I251" s="68">
        <f>F251*G251</f>
        <v/>
      </c>
      <c r="J251" s="68">
        <f>SUM(H251:I251)</f>
        <v/>
      </c>
      <c r="K251" s="43" t="n"/>
    </row>
    <row r="252" hidden="1" ht="29" customHeight="1">
      <c r="A252" s="35" t="n">
        <v>244</v>
      </c>
      <c r="B252" s="40" t="inlineStr">
        <is>
          <t>J-GB-G-INTG</t>
        </is>
      </c>
      <c r="C252" s="36" t="inlineStr">
        <is>
          <t>Pengadaan dan pemasangan material grounding di lokasi gedung eksisting dengan cara integrasi</t>
        </is>
      </c>
      <c r="D252" s="35" t="inlineStr">
        <is>
          <t>pcs</t>
        </is>
      </c>
      <c r="E252" s="42" t="n">
        <v>0</v>
      </c>
      <c r="F252" s="37" t="n">
        <v>164419</v>
      </c>
      <c r="G252" s="68" t="n"/>
      <c r="H252" s="68">
        <f>E252*G252</f>
        <v/>
      </c>
      <c r="I252" s="68">
        <f>F252*G252</f>
        <v/>
      </c>
      <c r="J252" s="68">
        <f>SUM(H252:I252)</f>
        <v/>
      </c>
      <c r="K252" s="43" t="n"/>
    </row>
    <row r="253" hidden="1" ht="29" customHeight="1">
      <c r="A253" s="35" t="n">
        <v>245</v>
      </c>
      <c r="B253" s="35" t="inlineStr">
        <is>
          <t>TC-02-ODC</t>
        </is>
      </c>
      <c r="C253" s="36" t="inlineStr">
        <is>
          <t>Pengadaan dan pemasangan riser pipe untuk pengaman kabel optik ke odc pole / titik naik ku diamater 2 inch panjang 3 meter</t>
        </is>
      </c>
      <c r="D253" s="35" t="inlineStr">
        <is>
          <t>pcs</t>
        </is>
      </c>
      <c r="E253" s="37" t="n">
        <v>231391</v>
      </c>
      <c r="F253" s="37" t="n">
        <v>63162</v>
      </c>
      <c r="G253" s="68" t="n"/>
      <c r="H253" s="68">
        <f>E253*G253</f>
        <v/>
      </c>
      <c r="I253" s="68">
        <f>F253*G253</f>
        <v/>
      </c>
      <c r="J253" s="68">
        <f>SUM(H253:I253)</f>
        <v/>
      </c>
      <c r="K253" s="43" t="n"/>
    </row>
    <row r="254" hidden="1" ht="29" customHeight="1">
      <c r="A254" s="35" t="n">
        <v>246</v>
      </c>
      <c r="B254" s="40" t="inlineStr">
        <is>
          <t>M-TC-02-ODC</t>
        </is>
      </c>
      <c r="C254" s="36" t="inlineStr">
        <is>
          <t>Pengadaan dan pemasangan riser pipe untuk pengaman kabel optik ke odc pole / titik naik ku diamater 2 inch panjang 3 meter</t>
        </is>
      </c>
      <c r="D254" s="35" t="inlineStr">
        <is>
          <t>pcs</t>
        </is>
      </c>
      <c r="E254" s="37" t="n">
        <v>231391</v>
      </c>
      <c r="F254" s="42" t="n">
        <v>0</v>
      </c>
      <c r="G254" s="68" t="n"/>
      <c r="H254" s="68">
        <f>E254*G254</f>
        <v/>
      </c>
      <c r="I254" s="68">
        <f>F254*G254</f>
        <v/>
      </c>
      <c r="J254" s="68">
        <f>SUM(H254:I254)</f>
        <v/>
      </c>
      <c r="K254" s="43" t="n"/>
    </row>
    <row r="255" hidden="1" ht="29" customHeight="1">
      <c r="A255" s="35" t="n">
        <v>247</v>
      </c>
      <c r="B255" s="40" t="inlineStr">
        <is>
          <t>J-TC-02-ODC</t>
        </is>
      </c>
      <c r="C255" s="36" t="inlineStr">
        <is>
          <t>Pengadaan dan pemasangan riser pipe untuk pengaman kabel optik ke odc pole / titik naik ku diamater 2 inch panjang 3 meter</t>
        </is>
      </c>
      <c r="D255" s="35" t="inlineStr">
        <is>
          <t>pcs</t>
        </is>
      </c>
      <c r="E255" s="42" t="n">
        <v>0</v>
      </c>
      <c r="F255" s="37" t="n">
        <v>63162</v>
      </c>
      <c r="G255" s="68" t="n"/>
      <c r="H255" s="68">
        <f>E255*G255</f>
        <v/>
      </c>
      <c r="I255" s="68">
        <f>F255*G255</f>
        <v/>
      </c>
      <c r="J255" s="68">
        <f>SUM(H255:I255)</f>
        <v/>
      </c>
      <c r="K255" s="43" t="n"/>
    </row>
    <row r="256" hidden="1" ht="29" customHeight="1">
      <c r="A256" s="35" t="n">
        <v>248</v>
      </c>
      <c r="B256" s="35" t="inlineStr">
        <is>
          <t>PP-OF-IN</t>
        </is>
      </c>
      <c r="C256" s="36" t="inlineStr">
        <is>
          <t>Pengadaan dan pemasangan pipe protector indoor cable (pvc white) high impact conduit 20 mm</t>
        </is>
      </c>
      <c r="D256" s="35" t="inlineStr">
        <is>
          <t>meter</t>
        </is>
      </c>
      <c r="E256" s="37" t="n">
        <v>27001</v>
      </c>
      <c r="F256" s="37" t="n">
        <v>4041</v>
      </c>
      <c r="G256" s="68" t="n"/>
      <c r="H256" s="68">
        <f>E256*G256</f>
        <v/>
      </c>
      <c r="I256" s="68">
        <f>F256*G256</f>
        <v/>
      </c>
      <c r="J256" s="68">
        <f>SUM(H256:I256)</f>
        <v/>
      </c>
      <c r="K256" s="43" t="n"/>
    </row>
    <row r="257" hidden="1" ht="29" customHeight="1">
      <c r="A257" s="35" t="n">
        <v>249</v>
      </c>
      <c r="B257" s="40" t="inlineStr">
        <is>
          <t>M-PP-OF-IN</t>
        </is>
      </c>
      <c r="C257" s="36" t="inlineStr">
        <is>
          <t>Pengadaan dan pemasangan pipe protector indoor cable (pvc white) high impact conduit 20 mm</t>
        </is>
      </c>
      <c r="D257" s="35" t="inlineStr">
        <is>
          <t>meter</t>
        </is>
      </c>
      <c r="E257" s="37" t="n">
        <v>27001</v>
      </c>
      <c r="F257" s="42" t="n">
        <v>0</v>
      </c>
      <c r="G257" s="68" t="n"/>
      <c r="H257" s="68">
        <f>E257*G257</f>
        <v/>
      </c>
      <c r="I257" s="68">
        <f>F257*G257</f>
        <v/>
      </c>
      <c r="J257" s="68">
        <f>SUM(H257:I257)</f>
        <v/>
      </c>
      <c r="K257" s="43" t="n"/>
    </row>
    <row r="258" hidden="1" ht="29" customHeight="1">
      <c r="A258" s="35" t="n">
        <v>250</v>
      </c>
      <c r="B258" s="40" t="inlineStr">
        <is>
          <t>J-PP-OF-IN</t>
        </is>
      </c>
      <c r="C258" s="36" t="inlineStr">
        <is>
          <t>Pengadaan dan pemasangan pipe protector indoor cable (pvc white) high impact conduit 20 mm</t>
        </is>
      </c>
      <c r="D258" s="35" t="inlineStr">
        <is>
          <t>meter</t>
        </is>
      </c>
      <c r="E258" s="42" t="n">
        <v>0</v>
      </c>
      <c r="F258" s="37" t="n">
        <v>4041</v>
      </c>
      <c r="G258" s="68" t="n"/>
      <c r="H258" s="68">
        <f>E258*G258</f>
        <v/>
      </c>
      <c r="I258" s="68">
        <f>F258*G258</f>
        <v/>
      </c>
      <c r="J258" s="68">
        <f>SUM(H258:I258)</f>
        <v/>
      </c>
      <c r="K258" s="43" t="n"/>
    </row>
    <row r="259" hidden="1" ht="29" customHeight="1">
      <c r="A259" s="35" t="n">
        <v>251</v>
      </c>
      <c r="B259" s="35" t="inlineStr">
        <is>
          <t>DD-S3-1</t>
        </is>
      </c>
      <c r="C259" s="36" t="inlineStr">
        <is>
          <t>Pengadaan dan pemasangan pipa besi diameter 100 mm dan ketebalan pipa 3,65 mm untuk crossing 1 pipa bentang ≤ 6 meter</t>
        </is>
      </c>
      <c r="D259" s="35" t="inlineStr">
        <is>
          <t>meter</t>
        </is>
      </c>
      <c r="E259" s="37" t="n">
        <v>340364</v>
      </c>
      <c r="F259" s="37" t="n">
        <v>60620</v>
      </c>
      <c r="G259" s="68" t="n"/>
      <c r="H259" s="68">
        <f>E259*G259</f>
        <v/>
      </c>
      <c r="I259" s="68">
        <f>F259*G259</f>
        <v/>
      </c>
      <c r="J259" s="68">
        <f>SUM(H259:I259)</f>
        <v/>
      </c>
      <c r="K259" s="43" t="n"/>
    </row>
    <row r="260" hidden="1" ht="29" customHeight="1">
      <c r="A260" s="35" t="n">
        <v>252</v>
      </c>
      <c r="B260" s="40" t="inlineStr">
        <is>
          <t>M-DD-S3-1</t>
        </is>
      </c>
      <c r="C260" s="36" t="inlineStr">
        <is>
          <t>Pengadaan dan pemasangan pipa besi diameter 100 mm dan ketebalan pipa 3,65 mm untuk crossing 1 pipa bentang ≤ 6 meter</t>
        </is>
      </c>
      <c r="D260" s="35" t="inlineStr">
        <is>
          <t>meter</t>
        </is>
      </c>
      <c r="E260" s="37" t="n">
        <v>340364</v>
      </c>
      <c r="F260" s="42" t="n">
        <v>0</v>
      </c>
      <c r="G260" s="68" t="n"/>
      <c r="H260" s="68">
        <f>E260*G260</f>
        <v/>
      </c>
      <c r="I260" s="68">
        <f>F260*G260</f>
        <v/>
      </c>
      <c r="J260" s="68">
        <f>SUM(H260:I260)</f>
        <v/>
      </c>
      <c r="K260" s="43" t="n"/>
    </row>
    <row r="261" hidden="1" ht="29" customHeight="1">
      <c r="A261" s="35" t="n">
        <v>253</v>
      </c>
      <c r="B261" s="40" t="inlineStr">
        <is>
          <t>J-DD-S3-1</t>
        </is>
      </c>
      <c r="C261" s="36" t="inlineStr">
        <is>
          <t>Pengadaan dan pemasangan pipa besi diameter 100 mm dan ketebalan pipa 3,65 mm untuk crossing 1 pipa bentang ≤ 6 meter</t>
        </is>
      </c>
      <c r="D261" s="35" t="inlineStr">
        <is>
          <t>meter</t>
        </is>
      </c>
      <c r="E261" s="42" t="n">
        <v>0</v>
      </c>
      <c r="F261" s="37" t="n">
        <v>60620</v>
      </c>
      <c r="G261" s="68" t="n"/>
      <c r="H261" s="68">
        <f>E261*G261</f>
        <v/>
      </c>
      <c r="I261" s="68">
        <f>F261*G261</f>
        <v/>
      </c>
      <c r="J261" s="68">
        <f>SUM(H261:I261)</f>
        <v/>
      </c>
      <c r="K261" s="43" t="n"/>
    </row>
    <row r="262" hidden="1" ht="29" customHeight="1">
      <c r="A262" s="35" t="n">
        <v>254</v>
      </c>
      <c r="B262" s="35" t="inlineStr">
        <is>
          <t>DD-S3-2</t>
        </is>
      </c>
      <c r="C262" s="36" t="inlineStr">
        <is>
          <t>Pengadaan dan pemasangan pipa besi diameter 100 mm dan ketebalan pipa 3,65 mm untuk crossing 2 pipa bentang ≤ 6 meter</t>
        </is>
      </c>
      <c r="D262" s="35" t="inlineStr">
        <is>
          <t>meter</t>
        </is>
      </c>
      <c r="E262" s="37" t="n">
        <v>680728</v>
      </c>
      <c r="F262" s="37" t="n">
        <v>80827</v>
      </c>
      <c r="G262" s="68" t="n"/>
      <c r="H262" s="68">
        <f>E262*G262</f>
        <v/>
      </c>
      <c r="I262" s="68">
        <f>F262*G262</f>
        <v/>
      </c>
      <c r="J262" s="68">
        <f>SUM(H262:I262)</f>
        <v/>
      </c>
      <c r="K262" s="43" t="n"/>
    </row>
    <row r="263" hidden="1" ht="29" customHeight="1">
      <c r="A263" s="35" t="n">
        <v>255</v>
      </c>
      <c r="B263" s="40" t="inlineStr">
        <is>
          <t>M-DD-S3-2</t>
        </is>
      </c>
      <c r="C263" s="36" t="inlineStr">
        <is>
          <t>Pengadaan dan pemasangan pipa besi diameter 100 mm dan ketebalan pipa 3,65 mm untuk crossing 2 pipa bentang ≤ 6 meter</t>
        </is>
      </c>
      <c r="D263" s="35" t="inlineStr">
        <is>
          <t>meter</t>
        </is>
      </c>
      <c r="E263" s="37" t="n">
        <v>680728</v>
      </c>
      <c r="F263" s="42" t="n">
        <v>0</v>
      </c>
      <c r="G263" s="68" t="n"/>
      <c r="H263" s="68">
        <f>E263*G263</f>
        <v/>
      </c>
      <c r="I263" s="68">
        <f>F263*G263</f>
        <v/>
      </c>
      <c r="J263" s="68">
        <f>SUM(H263:I263)</f>
        <v/>
      </c>
      <c r="K263" s="43" t="n"/>
    </row>
    <row r="264" hidden="1" ht="29" customHeight="1">
      <c r="A264" s="35" t="n">
        <v>256</v>
      </c>
      <c r="B264" s="40" t="inlineStr">
        <is>
          <t>J-DD-S3-2</t>
        </is>
      </c>
      <c r="C264" s="36" t="inlineStr">
        <is>
          <t>Pengadaan dan pemasangan pipa besi diameter 100 mm dan ketebalan pipa 3,65 mm untuk crossing 2 pipa bentang ≤ 6 meter</t>
        </is>
      </c>
      <c r="D264" s="35" t="inlineStr">
        <is>
          <t>meter</t>
        </is>
      </c>
      <c r="E264" s="42" t="n">
        <v>0</v>
      </c>
      <c r="F264" s="37" t="n">
        <v>80827</v>
      </c>
      <c r="G264" s="68" t="n"/>
      <c r="H264" s="68">
        <f>E264*G264</f>
        <v/>
      </c>
      <c r="I264" s="68">
        <f>F264*G264</f>
        <v/>
      </c>
      <c r="J264" s="68">
        <f>SUM(H264:I264)</f>
        <v/>
      </c>
      <c r="K264" s="43" t="n"/>
    </row>
    <row r="265" hidden="1" ht="29" customHeight="1">
      <c r="A265" s="35" t="n">
        <v>257</v>
      </c>
      <c r="B265" s="35" t="inlineStr">
        <is>
          <t>DD-S3-3</t>
        </is>
      </c>
      <c r="C265" s="36" t="inlineStr">
        <is>
          <t>Pengadaan dan pemasangan pipa besi diameter 100 mm dan ketebalan pipa 3,65 mm untuk crossing 3 pipa bentang ≤ 6 meter</t>
        </is>
      </c>
      <c r="D265" s="35" t="inlineStr">
        <is>
          <t>meter</t>
        </is>
      </c>
      <c r="E265" s="37" t="n">
        <v>1021092</v>
      </c>
      <c r="F265" s="37" t="n">
        <v>121240</v>
      </c>
      <c r="G265" s="68" t="n"/>
      <c r="H265" s="68">
        <f>E265*G265</f>
        <v/>
      </c>
      <c r="I265" s="68">
        <f>F265*G265</f>
        <v/>
      </c>
      <c r="J265" s="68">
        <f>SUM(H265:I265)</f>
        <v/>
      </c>
      <c r="K265" s="43" t="n"/>
    </row>
    <row r="266" hidden="1" ht="29" customHeight="1">
      <c r="A266" s="35" t="n">
        <v>258</v>
      </c>
      <c r="B266" s="40" t="inlineStr">
        <is>
          <t>M-DD-S3-3</t>
        </is>
      </c>
      <c r="C266" s="36" t="inlineStr">
        <is>
          <t>Pengadaan dan pemasangan pipa besi diameter 100 mm dan ketebalan pipa 3,65 mm untuk crossing 3 pipa bentang ≤ 6 meter</t>
        </is>
      </c>
      <c r="D266" s="35" t="inlineStr">
        <is>
          <t>meter</t>
        </is>
      </c>
      <c r="E266" s="37" t="n">
        <v>1021092</v>
      </c>
      <c r="F266" s="42" t="n">
        <v>0</v>
      </c>
      <c r="G266" s="68" t="n"/>
      <c r="H266" s="68">
        <f>E266*G266</f>
        <v/>
      </c>
      <c r="I266" s="68">
        <f>F266*G266</f>
        <v/>
      </c>
      <c r="J266" s="68">
        <f>SUM(H266:I266)</f>
        <v/>
      </c>
      <c r="K266" s="43" t="n"/>
    </row>
    <row r="267" hidden="1" ht="29" customHeight="1">
      <c r="A267" s="35" t="n">
        <v>259</v>
      </c>
      <c r="B267" s="40" t="inlineStr">
        <is>
          <t>J-DD-S3-3</t>
        </is>
      </c>
      <c r="C267" s="36" t="inlineStr">
        <is>
          <t>Pengadaan dan pemasangan pipa besi diameter 100 mm dan ketebalan pipa 3,65 mm untuk crossing 3 pipa bentang ≤ 6 meter</t>
        </is>
      </c>
      <c r="D267" s="35" t="inlineStr">
        <is>
          <t>meter</t>
        </is>
      </c>
      <c r="E267" s="42" t="n">
        <v>0</v>
      </c>
      <c r="F267" s="37" t="n">
        <v>121240</v>
      </c>
      <c r="G267" s="68" t="n"/>
      <c r="H267" s="68">
        <f>E267*G267</f>
        <v/>
      </c>
      <c r="I267" s="68">
        <f>F267*G267</f>
        <v/>
      </c>
      <c r="J267" s="68">
        <f>SUM(H267:I267)</f>
        <v/>
      </c>
      <c r="K267" s="43" t="n"/>
    </row>
    <row r="268" hidden="1" ht="29" customHeight="1">
      <c r="A268" s="35" t="n">
        <v>260</v>
      </c>
      <c r="B268" s="35" t="inlineStr">
        <is>
          <t>DD-V4-1</t>
        </is>
      </c>
      <c r="C268" s="36" t="inlineStr">
        <is>
          <t>Pengadan dan pemasangan pipa duct pvc diameter dalam 100 mm, ketebalan 4 mm, 1 pipa termasuk pengecoran</t>
        </is>
      </c>
      <c r="D268" s="35" t="inlineStr">
        <is>
          <t>meter</t>
        </is>
      </c>
      <c r="E268" s="37" t="n">
        <v>64761</v>
      </c>
      <c r="F268" s="37" t="n">
        <v>60620</v>
      </c>
      <c r="G268" s="68" t="n"/>
      <c r="H268" s="68">
        <f>E268*G268</f>
        <v/>
      </c>
      <c r="I268" s="68">
        <f>F268*G268</f>
        <v/>
      </c>
      <c r="J268" s="68">
        <f>SUM(H268:I268)</f>
        <v/>
      </c>
      <c r="K268" s="43" t="n"/>
    </row>
    <row r="269" hidden="1" ht="29" customHeight="1">
      <c r="A269" s="35" t="n">
        <v>261</v>
      </c>
      <c r="B269" s="40" t="inlineStr">
        <is>
          <t>M-DD-V4-1</t>
        </is>
      </c>
      <c r="C269" s="36" t="inlineStr">
        <is>
          <t>Pengadan dan pemasangan pipa duct pvc diameter dalam 100 mm, ketebalan 4 mm, 1 pipa termasuk pengecoran</t>
        </is>
      </c>
      <c r="D269" s="35" t="inlineStr">
        <is>
          <t>meter</t>
        </is>
      </c>
      <c r="E269" s="37" t="n">
        <v>64761</v>
      </c>
      <c r="F269" s="42" t="n">
        <v>0</v>
      </c>
      <c r="G269" s="68" t="n"/>
      <c r="H269" s="68">
        <f>E269*G269</f>
        <v/>
      </c>
      <c r="I269" s="68">
        <f>F269*G269</f>
        <v/>
      </c>
      <c r="J269" s="68">
        <f>SUM(H269:I269)</f>
        <v/>
      </c>
      <c r="K269" s="43" t="n"/>
    </row>
    <row r="270" hidden="1" ht="29" customHeight="1">
      <c r="A270" s="35" t="n">
        <v>262</v>
      </c>
      <c r="B270" s="40" t="inlineStr">
        <is>
          <t>J-DD-V4-1</t>
        </is>
      </c>
      <c r="C270" s="36" t="inlineStr">
        <is>
          <t>Pengadan dan pemasangan pipa duct pvc diameter dalam 100 mm, ketebalan 4 mm, 1 pipa termasuk pengecoran</t>
        </is>
      </c>
      <c r="D270" s="35" t="inlineStr">
        <is>
          <t>meter</t>
        </is>
      </c>
      <c r="E270" s="42" t="n">
        <v>0</v>
      </c>
      <c r="F270" s="37" t="n">
        <v>60620</v>
      </c>
      <c r="G270" s="68" t="n"/>
      <c r="H270" s="68">
        <f>E270*G270</f>
        <v/>
      </c>
      <c r="I270" s="68">
        <f>F270*G270</f>
        <v/>
      </c>
      <c r="J270" s="68">
        <f>SUM(H270:I270)</f>
        <v/>
      </c>
      <c r="K270" s="43" t="n"/>
    </row>
    <row r="271" hidden="1" ht="29" customHeight="1">
      <c r="A271" s="35" t="n">
        <v>263</v>
      </c>
      <c r="B271" s="35" t="inlineStr">
        <is>
          <t>DD-V4-2</t>
        </is>
      </c>
      <c r="C271" s="36" t="inlineStr">
        <is>
          <t>Pengadan dan pemasangan pipa duct pvc diameter dalam 100 mm, ketebalan 4 mm, 2 pipa termasuk pengecoran</t>
        </is>
      </c>
      <c r="D271" s="35" t="inlineStr">
        <is>
          <t>meter</t>
        </is>
      </c>
      <c r="E271" s="37" t="n">
        <v>129520</v>
      </c>
      <c r="F271" s="37" t="n">
        <v>80950</v>
      </c>
      <c r="G271" s="68" t="n"/>
      <c r="H271" s="68">
        <f>E271*G271</f>
        <v/>
      </c>
      <c r="I271" s="68">
        <f>F271*G271</f>
        <v/>
      </c>
      <c r="J271" s="68">
        <f>SUM(H271:I271)</f>
        <v/>
      </c>
      <c r="K271" s="43" t="n"/>
    </row>
    <row r="272" hidden="1" ht="29" customHeight="1">
      <c r="A272" s="35" t="n">
        <v>264</v>
      </c>
      <c r="B272" s="40" t="inlineStr">
        <is>
          <t>M-DD-V4-2</t>
        </is>
      </c>
      <c r="C272" s="36" t="inlineStr">
        <is>
          <t>Pengadan dan pemasangan pipa duct pvc diameter dalam 100 mm, ketebalan 4 mm, 2 pipa termasuk pengecoran</t>
        </is>
      </c>
      <c r="D272" s="35" t="inlineStr">
        <is>
          <t>meter</t>
        </is>
      </c>
      <c r="E272" s="37" t="n">
        <v>129520</v>
      </c>
      <c r="F272" s="42" t="n">
        <v>0</v>
      </c>
      <c r="G272" s="68" t="n"/>
      <c r="H272" s="68">
        <f>E272*G272</f>
        <v/>
      </c>
      <c r="I272" s="68">
        <f>F272*G272</f>
        <v/>
      </c>
      <c r="J272" s="68">
        <f>SUM(H272:I272)</f>
        <v/>
      </c>
      <c r="K272" s="43" t="n"/>
    </row>
    <row r="273" hidden="1" ht="29" customHeight="1">
      <c r="A273" s="35" t="n">
        <v>265</v>
      </c>
      <c r="B273" s="40" t="inlineStr">
        <is>
          <t>J-DD-V4-2</t>
        </is>
      </c>
      <c r="C273" s="36" t="inlineStr">
        <is>
          <t>Pengadan dan pemasangan pipa duct pvc diameter dalam 100 mm, ketebalan 4 mm, 2 pipa termasuk pengecoran</t>
        </is>
      </c>
      <c r="D273" s="35" t="inlineStr">
        <is>
          <t>meter</t>
        </is>
      </c>
      <c r="E273" s="42" t="n">
        <v>0</v>
      </c>
      <c r="F273" s="37" t="n">
        <v>80950</v>
      </c>
      <c r="G273" s="68" t="n"/>
      <c r="H273" s="68">
        <f>E273*G273</f>
        <v/>
      </c>
      <c r="I273" s="68">
        <f>F273*G273</f>
        <v/>
      </c>
      <c r="J273" s="68">
        <f>SUM(H273:I273)</f>
        <v/>
      </c>
      <c r="K273" s="43" t="n"/>
    </row>
    <row r="274" hidden="1" ht="29" customHeight="1">
      <c r="A274" s="35" t="n">
        <v>266</v>
      </c>
      <c r="B274" s="35" t="inlineStr">
        <is>
          <t>DD-V5-1</t>
        </is>
      </c>
      <c r="C274" s="36" t="inlineStr">
        <is>
          <t>Pemasangan pipa duct dengan selubung pasir dia 100 mm dengan ketebalan 5,5 mm, 1 pipa ( crossing )</t>
        </is>
      </c>
      <c r="D274" s="35" t="inlineStr">
        <is>
          <t>meter</t>
        </is>
      </c>
      <c r="E274" s="37" t="n">
        <v>62619</v>
      </c>
      <c r="F274" s="37" t="n">
        <v>60620</v>
      </c>
      <c r="G274" s="68" t="n"/>
      <c r="H274" s="68">
        <f>E274*G274</f>
        <v/>
      </c>
      <c r="I274" s="68">
        <f>F274*G274</f>
        <v/>
      </c>
      <c r="J274" s="68">
        <f>SUM(H274:I274)</f>
        <v/>
      </c>
      <c r="K274" s="43" t="n"/>
    </row>
    <row r="275" hidden="1" ht="29" customHeight="1">
      <c r="A275" s="35" t="n">
        <v>267</v>
      </c>
      <c r="B275" s="40" t="inlineStr">
        <is>
          <t>M-DD-V5-1</t>
        </is>
      </c>
      <c r="C275" s="36" t="inlineStr">
        <is>
          <t>Pemasangan pipa duct dengan selubung pasir dia 100 mm dengan ketebalan 5,5 mm, 1 pipa ( crossing )</t>
        </is>
      </c>
      <c r="D275" s="35" t="inlineStr">
        <is>
          <t>meter</t>
        </is>
      </c>
      <c r="E275" s="37" t="n">
        <v>62619</v>
      </c>
      <c r="F275" s="42" t="n">
        <v>0</v>
      </c>
      <c r="G275" s="68" t="n"/>
      <c r="H275" s="68">
        <f>E275*G275</f>
        <v/>
      </c>
      <c r="I275" s="68">
        <f>F275*G275</f>
        <v/>
      </c>
      <c r="J275" s="68">
        <f>SUM(H275:I275)</f>
        <v/>
      </c>
      <c r="K275" s="43" t="n"/>
    </row>
    <row r="276" hidden="1" ht="29" customHeight="1">
      <c r="A276" s="35" t="n">
        <v>268</v>
      </c>
      <c r="B276" s="40" t="inlineStr">
        <is>
          <t>J-DD-V5-1</t>
        </is>
      </c>
      <c r="C276" s="36" t="inlineStr">
        <is>
          <t>Pemasangan pipa duct dengan selubung pasir dia 100 mm dengan ketebalan 5,5 mm, 1 pipa ( crossing )</t>
        </is>
      </c>
      <c r="D276" s="35" t="inlineStr">
        <is>
          <t>meter</t>
        </is>
      </c>
      <c r="E276" s="42" t="n">
        <v>0</v>
      </c>
      <c r="F276" s="37" t="n">
        <v>60620</v>
      </c>
      <c r="G276" s="68" t="n"/>
      <c r="H276" s="68">
        <f>E276*G276</f>
        <v/>
      </c>
      <c r="I276" s="68">
        <f>F276*G276</f>
        <v/>
      </c>
      <c r="J276" s="68">
        <f>SUM(H276:I276)</f>
        <v/>
      </c>
      <c r="K276" s="43" t="n"/>
    </row>
    <row r="277" hidden="1" ht="29" customHeight="1">
      <c r="A277" s="35" t="n">
        <v>269</v>
      </c>
      <c r="B277" s="35" t="inlineStr">
        <is>
          <t>DD-V5-2</t>
        </is>
      </c>
      <c r="C277" s="36" t="inlineStr">
        <is>
          <t>Pemasangan pipa duct dengan selubung pasir dia 100 mm dengan ketebalan 5,5 mm, 2 pipa ( crossing )</t>
        </is>
      </c>
      <c r="D277" s="35" t="inlineStr">
        <is>
          <t>meter</t>
        </is>
      </c>
      <c r="E277" s="37" t="n">
        <v>125930</v>
      </c>
      <c r="F277" s="37" t="n">
        <v>80827</v>
      </c>
      <c r="G277" s="68" t="n"/>
      <c r="H277" s="68">
        <f>E277*G277</f>
        <v/>
      </c>
      <c r="I277" s="68">
        <f>F277*G277</f>
        <v/>
      </c>
      <c r="J277" s="68">
        <f>SUM(H277:I277)</f>
        <v/>
      </c>
      <c r="K277" s="43" t="n"/>
    </row>
    <row r="278" hidden="1" ht="29" customHeight="1">
      <c r="A278" s="35" t="n">
        <v>270</v>
      </c>
      <c r="B278" s="40" t="inlineStr">
        <is>
          <t>M-DD-V5-2</t>
        </is>
      </c>
      <c r="C278" s="36" t="inlineStr">
        <is>
          <t>Pemasangan pipa duct dengan selubung pasir dia 100 mm dengan ketebalan 5,5 mm, 2 pipa ( crossing )</t>
        </is>
      </c>
      <c r="D278" s="35" t="inlineStr">
        <is>
          <t>meter</t>
        </is>
      </c>
      <c r="E278" s="37" t="n">
        <v>125930</v>
      </c>
      <c r="F278" s="42" t="n">
        <v>0</v>
      </c>
      <c r="G278" s="68" t="n"/>
      <c r="H278" s="68">
        <f>E278*G278</f>
        <v/>
      </c>
      <c r="I278" s="68">
        <f>F278*G278</f>
        <v/>
      </c>
      <c r="J278" s="68">
        <f>SUM(H278:I278)</f>
        <v/>
      </c>
      <c r="K278" s="43" t="n"/>
    </row>
    <row r="279" hidden="1" ht="29" customHeight="1">
      <c r="A279" s="35" t="n">
        <v>271</v>
      </c>
      <c r="B279" s="40" t="inlineStr">
        <is>
          <t>J-DD-V5-2</t>
        </is>
      </c>
      <c r="C279" s="36" t="inlineStr">
        <is>
          <t>Pemasangan pipa duct dengan selubung pasir dia 100 mm dengan ketebalan 5,5 mm, 2 pipa ( crossing )</t>
        </is>
      </c>
      <c r="D279" s="35" t="inlineStr">
        <is>
          <t>meter</t>
        </is>
      </c>
      <c r="E279" s="42" t="n">
        <v>0</v>
      </c>
      <c r="F279" s="37" t="n">
        <v>80827</v>
      </c>
      <c r="G279" s="68" t="n"/>
      <c r="H279" s="68">
        <f>E279*G279</f>
        <v/>
      </c>
      <c r="I279" s="68">
        <f>F279*G279</f>
        <v/>
      </c>
      <c r="J279" s="68">
        <f>SUM(H279:I279)</f>
        <v/>
      </c>
      <c r="K279" s="43" t="n"/>
    </row>
    <row r="280" hidden="1" ht="43.5" customHeight="1">
      <c r="A280" s="35" t="n">
        <v>272</v>
      </c>
      <c r="B280" s="35" t="inlineStr">
        <is>
          <t>DD-DA-S1</t>
        </is>
      </c>
      <c r="C280" s="36" t="inlineStr">
        <is>
          <t>Pengadaan dan pemasangan pipa duct menempel pada jembatan existing menggunakan pipa galvanis diamenter 100 mm, tebal 3,65 mm, 1 pipa</t>
        </is>
      </c>
      <c r="D280" s="35" t="inlineStr">
        <is>
          <t>meter</t>
        </is>
      </c>
      <c r="E280" s="37" t="n">
        <v>320113</v>
      </c>
      <c r="F280" s="37" t="n">
        <v>251177</v>
      </c>
      <c r="G280" s="68" t="n"/>
      <c r="H280" s="68">
        <f>E280*G280</f>
        <v/>
      </c>
      <c r="I280" s="68">
        <f>F280*G280</f>
        <v/>
      </c>
      <c r="J280" s="68">
        <f>SUM(H280:I280)</f>
        <v/>
      </c>
      <c r="K280" s="43" t="n"/>
    </row>
    <row r="281" hidden="1" ht="43.5" customHeight="1">
      <c r="A281" s="35" t="n">
        <v>273</v>
      </c>
      <c r="B281" s="40" t="inlineStr">
        <is>
          <t>M-DD-DA-S1</t>
        </is>
      </c>
      <c r="C281" s="36" t="inlineStr">
        <is>
          <t>Pengadaan dan pemasangan pipa duct menempel pada jembatan existing menggunakan pipa galvanis diamenter 100 mm, tebal 3,65 mm, 1 pipa</t>
        </is>
      </c>
      <c r="D281" s="35" t="inlineStr">
        <is>
          <t>meter</t>
        </is>
      </c>
      <c r="E281" s="37" t="n">
        <v>320113</v>
      </c>
      <c r="F281" s="42" t="n">
        <v>0</v>
      </c>
      <c r="G281" s="68" t="n"/>
      <c r="H281" s="68">
        <f>E281*G281</f>
        <v/>
      </c>
      <c r="I281" s="68">
        <f>F281*G281</f>
        <v/>
      </c>
      <c r="J281" s="68">
        <f>SUM(H281:I281)</f>
        <v/>
      </c>
      <c r="K281" s="43" t="n"/>
    </row>
    <row r="282" hidden="1" ht="43.5" customHeight="1">
      <c r="A282" s="35" t="n">
        <v>274</v>
      </c>
      <c r="B282" s="40" t="inlineStr">
        <is>
          <t>J-DD-DA-S1</t>
        </is>
      </c>
      <c r="C282" s="36" t="inlineStr">
        <is>
          <t>Pengadaan dan pemasangan pipa duct menempel pada jembatan existing menggunakan pipa galvanis diamenter 100 mm, tebal 3,65 mm, 1 pipa</t>
        </is>
      </c>
      <c r="D282" s="35" t="inlineStr">
        <is>
          <t>meter</t>
        </is>
      </c>
      <c r="E282" s="42" t="n">
        <v>0</v>
      </c>
      <c r="F282" s="37" t="n">
        <v>251177</v>
      </c>
      <c r="G282" s="68" t="n"/>
      <c r="H282" s="68">
        <f>E282*G282</f>
        <v/>
      </c>
      <c r="I282" s="68">
        <f>F282*G282</f>
        <v/>
      </c>
      <c r="J282" s="68">
        <f>SUM(H282:I282)</f>
        <v/>
      </c>
      <c r="K282" s="43" t="n"/>
    </row>
    <row r="283" hidden="1" ht="43.5" customHeight="1">
      <c r="A283" s="35" t="n">
        <v>275</v>
      </c>
      <c r="B283" s="35" t="inlineStr">
        <is>
          <t>DD-DA-S2</t>
        </is>
      </c>
      <c r="C283" s="36" t="inlineStr">
        <is>
          <t>Pengadaan dan pemasangan pipa duct menempel pada jembatan existing menggunakan pipa galvanis diamenter 100 mm, tebal 3,65 mm, 2 pipa</t>
        </is>
      </c>
      <c r="D283" s="35" t="inlineStr">
        <is>
          <t>meter</t>
        </is>
      </c>
      <c r="E283" s="37" t="n">
        <v>680728</v>
      </c>
      <c r="F283" s="37" t="n">
        <v>484962</v>
      </c>
      <c r="G283" s="68" t="n"/>
      <c r="H283" s="68">
        <f>E283*G283</f>
        <v/>
      </c>
      <c r="I283" s="68">
        <f>F283*G283</f>
        <v/>
      </c>
      <c r="J283" s="68">
        <f>SUM(H283:I283)</f>
        <v/>
      </c>
      <c r="K283" s="43" t="n"/>
    </row>
    <row r="284" hidden="1" ht="43.5" customHeight="1">
      <c r="A284" s="35" t="n">
        <v>276</v>
      </c>
      <c r="B284" s="40" t="inlineStr">
        <is>
          <t>M-DD-DA-S2</t>
        </is>
      </c>
      <c r="C284" s="36" t="inlineStr">
        <is>
          <t>Pengadaan dan pemasangan pipa duct menempel pada jembatan existing menggunakan pipa galvanis diamenter 100 mm, tebal 3,65 mm, 2 pipa</t>
        </is>
      </c>
      <c r="D284" s="35" t="inlineStr">
        <is>
          <t>meter</t>
        </is>
      </c>
      <c r="E284" s="37" t="n">
        <v>680728</v>
      </c>
      <c r="F284" s="42" t="n">
        <v>0</v>
      </c>
      <c r="G284" s="68" t="n"/>
      <c r="H284" s="68">
        <f>E284*G284</f>
        <v/>
      </c>
      <c r="I284" s="68">
        <f>F284*G284</f>
        <v/>
      </c>
      <c r="J284" s="68">
        <f>SUM(H284:I284)</f>
        <v/>
      </c>
      <c r="K284" s="43" t="n"/>
    </row>
    <row r="285" hidden="1" ht="43.5" customHeight="1">
      <c r="A285" s="35" t="n">
        <v>277</v>
      </c>
      <c r="B285" s="40" t="inlineStr">
        <is>
          <t>J-DD-DA-S2</t>
        </is>
      </c>
      <c r="C285" s="36" t="inlineStr">
        <is>
          <t>Pengadaan dan pemasangan pipa duct menempel pada jembatan existing menggunakan pipa galvanis diamenter 100 mm, tebal 3,65 mm, 2 pipa</t>
        </is>
      </c>
      <c r="D285" s="35" t="inlineStr">
        <is>
          <t>meter</t>
        </is>
      </c>
      <c r="E285" s="42" t="n">
        <v>0</v>
      </c>
      <c r="F285" s="37" t="n">
        <v>484962</v>
      </c>
      <c r="G285" s="68" t="n"/>
      <c r="H285" s="68">
        <f>E285*G285</f>
        <v/>
      </c>
      <c r="I285" s="68">
        <f>F285*G285</f>
        <v/>
      </c>
      <c r="J285" s="68">
        <f>SUM(H285:I285)</f>
        <v/>
      </c>
      <c r="K285" s="43" t="n"/>
    </row>
    <row r="286" hidden="1" ht="43.5" customHeight="1">
      <c r="A286" s="35" t="n">
        <v>278</v>
      </c>
      <c r="B286" s="35" t="inlineStr">
        <is>
          <t>DD-DA-S4</t>
        </is>
      </c>
      <c r="C286" s="36" t="inlineStr">
        <is>
          <t>Pengadaan dan pemasangan pipa duct menempel pada jembatan existing menggunakan pipa galvanis diamenter 100 mm, tebal 3,65 mm, 4 pipa</t>
        </is>
      </c>
      <c r="D286" s="35" t="inlineStr">
        <is>
          <t>meter</t>
        </is>
      </c>
      <c r="E286" s="37" t="n">
        <v>1361457</v>
      </c>
      <c r="F286" s="37" t="n">
        <v>969923</v>
      </c>
      <c r="G286" s="68" t="n"/>
      <c r="H286" s="68">
        <f>E286*G286</f>
        <v/>
      </c>
      <c r="I286" s="68">
        <f>F286*G286</f>
        <v/>
      </c>
      <c r="J286" s="68">
        <f>SUM(H286:I286)</f>
        <v/>
      </c>
      <c r="K286" s="43" t="n"/>
    </row>
    <row r="287" hidden="1" ht="43.5" customHeight="1">
      <c r="A287" s="35" t="n">
        <v>279</v>
      </c>
      <c r="B287" s="40" t="inlineStr">
        <is>
          <t>M-DD-DA-S4</t>
        </is>
      </c>
      <c r="C287" s="36" t="inlineStr">
        <is>
          <t>Pengadaan dan pemasangan pipa duct menempel pada jembatan existing menggunakan pipa galvanis diamenter 100 mm, tebal 3,65 mm, 4 pipa</t>
        </is>
      </c>
      <c r="D287" s="35" t="inlineStr">
        <is>
          <t>meter</t>
        </is>
      </c>
      <c r="E287" s="37" t="n">
        <v>1361457</v>
      </c>
      <c r="F287" s="42" t="n">
        <v>0</v>
      </c>
      <c r="G287" s="68" t="n"/>
      <c r="H287" s="68">
        <f>E287*G287</f>
        <v/>
      </c>
      <c r="I287" s="68">
        <f>F287*G287</f>
        <v/>
      </c>
      <c r="J287" s="68">
        <f>SUM(H287:I287)</f>
        <v/>
      </c>
      <c r="K287" s="43" t="n"/>
    </row>
    <row r="288" hidden="1" ht="43.5" customHeight="1">
      <c r="A288" s="35" t="n">
        <v>280</v>
      </c>
      <c r="B288" s="40" t="inlineStr">
        <is>
          <t>J-DD-DA-S4</t>
        </is>
      </c>
      <c r="C288" s="36" t="inlineStr">
        <is>
          <t>Pengadaan dan pemasangan pipa duct menempel pada jembatan existing menggunakan pipa galvanis diamenter 100 mm, tebal 3,65 mm, 4 pipa</t>
        </is>
      </c>
      <c r="D288" s="35" t="inlineStr">
        <is>
          <t>meter</t>
        </is>
      </c>
      <c r="E288" s="42" t="n">
        <v>0</v>
      </c>
      <c r="F288" s="37" t="n">
        <v>969923</v>
      </c>
      <c r="G288" s="68" t="n"/>
      <c r="H288" s="68">
        <f>E288*G288</f>
        <v/>
      </c>
      <c r="I288" s="68">
        <f>F288*G288</f>
        <v/>
      </c>
      <c r="J288" s="68">
        <f>SUM(H288:I288)</f>
        <v/>
      </c>
      <c r="K288" s="43" t="n"/>
    </row>
    <row r="289" hidden="1" ht="43.5" customHeight="1">
      <c r="A289" s="35" t="n">
        <v>281</v>
      </c>
      <c r="B289" s="35" t="inlineStr">
        <is>
          <t>DD-BSS-S1</t>
        </is>
      </c>
      <c r="C289" s="36" t="inlineStr">
        <is>
          <t>Pengadaan dan pemasangan pipa duct pada jembatan dengan self support berpenguatan menggunakan pipa besi galv 1 pipa, bentang 6 - 12 meter</t>
        </is>
      </c>
      <c r="D289" s="35" t="inlineStr">
        <is>
          <t>meter</t>
        </is>
      </c>
      <c r="E289" s="37" t="n">
        <v>438484</v>
      </c>
      <c r="F289" s="37" t="n">
        <v>242481</v>
      </c>
      <c r="G289" s="68" t="n"/>
      <c r="H289" s="68">
        <f>E289*G289</f>
        <v/>
      </c>
      <c r="I289" s="68">
        <f>F289*G289</f>
        <v/>
      </c>
      <c r="J289" s="68">
        <f>SUM(H289:I289)</f>
        <v/>
      </c>
      <c r="K289" s="43" t="n"/>
    </row>
    <row r="290" hidden="1" ht="43.5" customHeight="1">
      <c r="A290" s="35" t="n">
        <v>282</v>
      </c>
      <c r="B290" s="40" t="inlineStr">
        <is>
          <t>M-DD-BSS-S1</t>
        </is>
      </c>
      <c r="C290" s="36" t="inlineStr">
        <is>
          <t>Pengadaan dan pemasangan pipa duct pada jembatan dengan self support berpenguatan menggunakan pipa besi galv 1 pipa, bentang 6 - 12 meter</t>
        </is>
      </c>
      <c r="D290" s="35" t="inlineStr">
        <is>
          <t>meter</t>
        </is>
      </c>
      <c r="E290" s="37" t="n">
        <v>438484</v>
      </c>
      <c r="F290" s="42" t="n">
        <v>0</v>
      </c>
      <c r="G290" s="68" t="n"/>
      <c r="H290" s="68">
        <f>E290*G290</f>
        <v/>
      </c>
      <c r="I290" s="68">
        <f>F290*G290</f>
        <v/>
      </c>
      <c r="J290" s="68">
        <f>SUM(H290:I290)</f>
        <v/>
      </c>
      <c r="K290" s="43" t="n"/>
    </row>
    <row r="291" hidden="1" ht="43.5" customHeight="1">
      <c r="A291" s="35" t="n">
        <v>283</v>
      </c>
      <c r="B291" s="40" t="inlineStr">
        <is>
          <t>J-DD-BSS-S1</t>
        </is>
      </c>
      <c r="C291" s="36" t="inlineStr">
        <is>
          <t>Pengadaan dan pemasangan pipa duct pada jembatan dengan self support berpenguatan menggunakan pipa besi galv 1 pipa, bentang 6 - 12 meter</t>
        </is>
      </c>
      <c r="D291" s="35" t="inlineStr">
        <is>
          <t>meter</t>
        </is>
      </c>
      <c r="E291" s="42" t="n">
        <v>0</v>
      </c>
      <c r="F291" s="37" t="n">
        <v>242481</v>
      </c>
      <c r="G291" s="68" t="n"/>
      <c r="H291" s="68">
        <f>E291*G291</f>
        <v/>
      </c>
      <c r="I291" s="68">
        <f>F291*G291</f>
        <v/>
      </c>
      <c r="J291" s="68">
        <f>SUM(H291:I291)</f>
        <v/>
      </c>
      <c r="K291" s="43" t="n"/>
    </row>
    <row r="292" hidden="1" ht="43.5" customHeight="1">
      <c r="A292" s="35" t="n">
        <v>284</v>
      </c>
      <c r="B292" s="35" t="inlineStr">
        <is>
          <t>DD-BSS-S2</t>
        </is>
      </c>
      <c r="C292" s="36" t="inlineStr">
        <is>
          <t>Pengadaan dan pemasangan pipa duct pada jembatan dengan self support berpenguatan menggunakan pipa besi galv 2 pipa, bentang 6 - 12 meter</t>
        </is>
      </c>
      <c r="D292" s="35" t="inlineStr">
        <is>
          <t>meter</t>
        </is>
      </c>
      <c r="E292" s="37" t="n">
        <v>876889</v>
      </c>
      <c r="F292" s="37" t="n">
        <v>484962</v>
      </c>
      <c r="G292" s="68" t="n"/>
      <c r="H292" s="68">
        <f>E292*G292</f>
        <v/>
      </c>
      <c r="I292" s="68">
        <f>F292*G292</f>
        <v/>
      </c>
      <c r="J292" s="68">
        <f>SUM(H292:I292)</f>
        <v/>
      </c>
      <c r="K292" s="43" t="n"/>
    </row>
    <row r="293" hidden="1" ht="43.5" customHeight="1">
      <c r="A293" s="35" t="n">
        <v>285</v>
      </c>
      <c r="B293" s="40" t="inlineStr">
        <is>
          <t>M-DD-BSS-S2</t>
        </is>
      </c>
      <c r="C293" s="36" t="inlineStr">
        <is>
          <t>Pengadaan dan pemasangan pipa duct pada jembatan dengan self support berpenguatan menggunakan pipa besi galv 2 pipa, bentang 6 - 12 meter</t>
        </is>
      </c>
      <c r="D293" s="35" t="inlineStr">
        <is>
          <t>meter</t>
        </is>
      </c>
      <c r="E293" s="37" t="n">
        <v>876889</v>
      </c>
      <c r="F293" s="42" t="n">
        <v>0</v>
      </c>
      <c r="G293" s="68" t="n"/>
      <c r="H293" s="68">
        <f>E293*G293</f>
        <v/>
      </c>
      <c r="I293" s="68">
        <f>F293*G293</f>
        <v/>
      </c>
      <c r="J293" s="68">
        <f>SUM(H293:I293)</f>
        <v/>
      </c>
      <c r="K293" s="43" t="n"/>
    </row>
    <row r="294" hidden="1" ht="43.5" customHeight="1">
      <c r="A294" s="35" t="n">
        <v>286</v>
      </c>
      <c r="B294" s="40" t="inlineStr">
        <is>
          <t>J-DD-BSS-S2</t>
        </is>
      </c>
      <c r="C294" s="36" t="inlineStr">
        <is>
          <t>Pengadaan dan pemasangan pipa duct pada jembatan dengan self support berpenguatan menggunakan pipa besi galv 2 pipa, bentang 6 - 12 meter</t>
        </is>
      </c>
      <c r="D294" s="35" t="inlineStr">
        <is>
          <t>meter</t>
        </is>
      </c>
      <c r="E294" s="42" t="n">
        <v>0</v>
      </c>
      <c r="F294" s="37" t="n">
        <v>484962</v>
      </c>
      <c r="G294" s="68" t="n"/>
      <c r="H294" s="68">
        <f>E294*G294</f>
        <v/>
      </c>
      <c r="I294" s="68">
        <f>F294*G294</f>
        <v/>
      </c>
      <c r="J294" s="68">
        <f>SUM(H294:I294)</f>
        <v/>
      </c>
      <c r="K294" s="43" t="n"/>
    </row>
    <row r="295" hidden="1" ht="29" customHeight="1">
      <c r="A295" s="35" t="n">
        <v>287</v>
      </c>
      <c r="B295" s="35" t="inlineStr">
        <is>
          <t>DD-BTS-S1</t>
        </is>
      </c>
      <c r="C295" s="36" t="inlineStr">
        <is>
          <t>Pengadaan dan pemasangan pipa duct pada jembatan menggunakan pipa besi galv 1 pipa, bentang 6 - 12 meter</t>
        </is>
      </c>
      <c r="D295" s="35" t="inlineStr">
        <is>
          <t>meter</t>
        </is>
      </c>
      <c r="E295" s="37" t="n">
        <v>436783</v>
      </c>
      <c r="F295" s="37" t="n">
        <v>242481</v>
      </c>
      <c r="G295" s="68" t="n"/>
      <c r="H295" s="68">
        <f>E295*G295</f>
        <v/>
      </c>
      <c r="I295" s="68">
        <f>F295*G295</f>
        <v/>
      </c>
      <c r="J295" s="68">
        <f>SUM(H295:I295)</f>
        <v/>
      </c>
      <c r="K295" s="43" t="n"/>
    </row>
    <row r="296" hidden="1" ht="29" customHeight="1">
      <c r="A296" s="35" t="n">
        <v>288</v>
      </c>
      <c r="B296" s="40" t="inlineStr">
        <is>
          <t>M-DD-BTS-S1</t>
        </is>
      </c>
      <c r="C296" s="36" t="inlineStr">
        <is>
          <t>Pengadaan dan pemasangan pipa duct pada jembatan menggunakan pipa besi galv 1 pipa, bentang 6 - 12 meter</t>
        </is>
      </c>
      <c r="D296" s="35" t="inlineStr">
        <is>
          <t>meter</t>
        </is>
      </c>
      <c r="E296" s="37" t="n">
        <v>436783</v>
      </c>
      <c r="F296" s="42" t="n">
        <v>0</v>
      </c>
      <c r="G296" s="68" t="n"/>
      <c r="H296" s="68">
        <f>E296*G296</f>
        <v/>
      </c>
      <c r="I296" s="68">
        <f>F296*G296</f>
        <v/>
      </c>
      <c r="J296" s="68">
        <f>SUM(H296:I296)</f>
        <v/>
      </c>
      <c r="K296" s="43" t="n"/>
    </row>
    <row r="297" hidden="1" ht="29" customHeight="1">
      <c r="A297" s="35" t="n">
        <v>289</v>
      </c>
      <c r="B297" s="40" t="inlineStr">
        <is>
          <t>J-DD-BTS-S1</t>
        </is>
      </c>
      <c r="C297" s="36" t="inlineStr">
        <is>
          <t>Pengadaan dan pemasangan pipa duct pada jembatan menggunakan pipa besi galv 1 pipa, bentang 6 - 12 meter</t>
        </is>
      </c>
      <c r="D297" s="35" t="inlineStr">
        <is>
          <t>meter</t>
        </is>
      </c>
      <c r="E297" s="42" t="n">
        <v>0</v>
      </c>
      <c r="F297" s="37" t="n">
        <v>242481</v>
      </c>
      <c r="G297" s="68" t="n"/>
      <c r="H297" s="68">
        <f>E297*G297</f>
        <v/>
      </c>
      <c r="I297" s="68">
        <f>F297*G297</f>
        <v/>
      </c>
      <c r="J297" s="68">
        <f>SUM(H297:I297)</f>
        <v/>
      </c>
      <c r="K297" s="43" t="n"/>
    </row>
    <row r="298" hidden="1" ht="29" customHeight="1">
      <c r="A298" s="35" t="n">
        <v>290</v>
      </c>
      <c r="B298" s="35" t="inlineStr">
        <is>
          <t>DD-BTS-S2</t>
        </is>
      </c>
      <c r="C298" s="36" t="inlineStr">
        <is>
          <t>Pengadaan dan pemasangan pipa duct pada jembatan menggunakan pipa besi galv 2 pipa, bentang 6 - 12 meter</t>
        </is>
      </c>
      <c r="D298" s="35" t="inlineStr">
        <is>
          <t>meter</t>
        </is>
      </c>
      <c r="E298" s="37" t="n">
        <v>873565</v>
      </c>
      <c r="F298" s="37" t="n">
        <v>484962</v>
      </c>
      <c r="G298" s="68" t="n"/>
      <c r="H298" s="68">
        <f>E298*G298</f>
        <v/>
      </c>
      <c r="I298" s="68">
        <f>F298*G298</f>
        <v/>
      </c>
      <c r="J298" s="68">
        <f>SUM(H298:I298)</f>
        <v/>
      </c>
      <c r="K298" s="43" t="n"/>
    </row>
    <row r="299" hidden="1" ht="29" customHeight="1">
      <c r="A299" s="35" t="n">
        <v>291</v>
      </c>
      <c r="B299" s="40" t="inlineStr">
        <is>
          <t>M-DD-BTS-S2</t>
        </is>
      </c>
      <c r="C299" s="36" t="inlineStr">
        <is>
          <t>Pengadaan dan pemasangan pipa duct pada jembatan menggunakan pipa besi galv 2 pipa, bentang 6 - 12 meter</t>
        </is>
      </c>
      <c r="D299" s="35" t="inlineStr">
        <is>
          <t>meter</t>
        </is>
      </c>
      <c r="E299" s="37" t="n">
        <v>873565</v>
      </c>
      <c r="F299" s="42" t="n">
        <v>0</v>
      </c>
      <c r="G299" s="68" t="n"/>
      <c r="H299" s="68">
        <f>E299*G299</f>
        <v/>
      </c>
      <c r="I299" s="68">
        <f>F299*G299</f>
        <v/>
      </c>
      <c r="J299" s="68">
        <f>SUM(H299:I299)</f>
        <v/>
      </c>
      <c r="K299" s="43" t="n"/>
    </row>
    <row r="300" hidden="1" ht="29" customHeight="1">
      <c r="A300" s="35" t="n">
        <v>292</v>
      </c>
      <c r="B300" s="40" t="inlineStr">
        <is>
          <t>J-DD-BTS-S2</t>
        </is>
      </c>
      <c r="C300" s="36" t="inlineStr">
        <is>
          <t>Pengadaan dan pemasangan pipa duct pada jembatan menggunakan pipa besi galv 2 pipa, bentang 6 - 12 meter</t>
        </is>
      </c>
      <c r="D300" s="35" t="inlineStr">
        <is>
          <t>meter</t>
        </is>
      </c>
      <c r="E300" s="42" t="n">
        <v>0</v>
      </c>
      <c r="F300" s="37" t="n">
        <v>484962</v>
      </c>
      <c r="G300" s="68" t="n"/>
      <c r="H300" s="68">
        <f>E300*G300</f>
        <v/>
      </c>
      <c r="I300" s="68">
        <f>F300*G300</f>
        <v/>
      </c>
      <c r="J300" s="68">
        <f>SUM(H300:I300)</f>
        <v/>
      </c>
      <c r="K300" s="43" t="n"/>
    </row>
    <row r="301" hidden="1" ht="29" customHeight="1">
      <c r="A301" s="35" t="n">
        <v>293</v>
      </c>
      <c r="B301" s="35" t="inlineStr">
        <is>
          <t>DD-BTS-S4</t>
        </is>
      </c>
      <c r="C301" s="36" t="inlineStr">
        <is>
          <t>Pengadaan dan pemasangan pipa duct pada jembatan menggunakan pipa besi galv 4 pipa, bentang 6 - 12 meter</t>
        </is>
      </c>
      <c r="D301" s="35" t="inlineStr">
        <is>
          <t>meter</t>
        </is>
      </c>
      <c r="E301" s="37" t="n">
        <v>1736900</v>
      </c>
      <c r="F301" s="37" t="n">
        <v>735171</v>
      </c>
      <c r="G301" s="68" t="n"/>
      <c r="H301" s="68">
        <f>E301*G301</f>
        <v/>
      </c>
      <c r="I301" s="68">
        <f>F301*G301</f>
        <v/>
      </c>
      <c r="J301" s="68">
        <f>SUM(H301:I301)</f>
        <v/>
      </c>
      <c r="K301" s="43" t="n"/>
    </row>
    <row r="302" hidden="1" ht="29" customHeight="1">
      <c r="A302" s="35" t="n">
        <v>294</v>
      </c>
      <c r="B302" s="40" t="inlineStr">
        <is>
          <t>M-DD-BTS-S4</t>
        </is>
      </c>
      <c r="C302" s="36" t="inlineStr">
        <is>
          <t>Pengadaan dan pemasangan pipa duct pada jembatan menggunakan pipa besi galv 4 pipa, bentang 6 - 12 meter</t>
        </is>
      </c>
      <c r="D302" s="35" t="inlineStr">
        <is>
          <t>meter</t>
        </is>
      </c>
      <c r="E302" s="37" t="n">
        <v>1736900</v>
      </c>
      <c r="F302" s="42" t="n">
        <v>0</v>
      </c>
      <c r="G302" s="68" t="n"/>
      <c r="H302" s="68">
        <f>E302*G302</f>
        <v/>
      </c>
      <c r="I302" s="68">
        <f>F302*G302</f>
        <v/>
      </c>
      <c r="J302" s="68">
        <f>SUM(H302:I302)</f>
        <v/>
      </c>
      <c r="K302" s="43" t="n"/>
    </row>
    <row r="303" hidden="1" ht="29" customHeight="1">
      <c r="A303" s="35" t="n">
        <v>295</v>
      </c>
      <c r="B303" s="40" t="inlineStr">
        <is>
          <t>J-DD-BTS-S4</t>
        </is>
      </c>
      <c r="C303" s="36" t="inlineStr">
        <is>
          <t>Pengadaan dan pemasangan pipa duct pada jembatan menggunakan pipa besi galv 4 pipa, bentang 6 - 12 meter</t>
        </is>
      </c>
      <c r="D303" s="35" t="inlineStr">
        <is>
          <t>meter</t>
        </is>
      </c>
      <c r="E303" s="42" t="n">
        <v>0</v>
      </c>
      <c r="F303" s="37" t="n">
        <v>735171</v>
      </c>
      <c r="G303" s="68" t="n"/>
      <c r="H303" s="68">
        <f>E303*G303</f>
        <v/>
      </c>
      <c r="I303" s="68">
        <f>F303*G303</f>
        <v/>
      </c>
      <c r="J303" s="68">
        <f>SUM(H303:I303)</f>
        <v/>
      </c>
      <c r="K303" s="43" t="n"/>
    </row>
    <row r="304" hidden="1" ht="29" customHeight="1">
      <c r="A304" s="35" t="n">
        <v>296</v>
      </c>
      <c r="B304" s="35" t="inlineStr">
        <is>
          <t>HB-PS-1</t>
        </is>
      </c>
      <c r="C304" s="36" t="inlineStr">
        <is>
          <t>Pengadaan dan pemasangan pipa duct dengan system gantung 1 tiang besi, bentang s/d 40 meter</t>
        </is>
      </c>
      <c r="D304" s="35" t="inlineStr">
        <is>
          <t>meter</t>
        </is>
      </c>
      <c r="E304" s="37" t="n">
        <v>143703</v>
      </c>
      <c r="F304" s="37" t="n">
        <v>40039</v>
      </c>
      <c r="G304" s="68" t="n"/>
      <c r="H304" s="68">
        <f>E304*G304</f>
        <v/>
      </c>
      <c r="I304" s="68">
        <f>F304*G304</f>
        <v/>
      </c>
      <c r="J304" s="68">
        <f>SUM(H304:I304)</f>
        <v/>
      </c>
      <c r="K304" s="43" t="n"/>
    </row>
    <row r="305" hidden="1" ht="29" customHeight="1">
      <c r="A305" s="35" t="n">
        <v>297</v>
      </c>
      <c r="B305" s="40" t="inlineStr">
        <is>
          <t>M-HB-PS-1</t>
        </is>
      </c>
      <c r="C305" s="36" t="inlineStr">
        <is>
          <t>Pengadaan dan pemasangan pipa duct dengan system gantung 1 tiang besi, bentang s/d 40 meter</t>
        </is>
      </c>
      <c r="D305" s="35" t="inlineStr">
        <is>
          <t>meter</t>
        </is>
      </c>
      <c r="E305" s="37" t="n">
        <v>143703</v>
      </c>
      <c r="F305" s="42" t="n">
        <v>0</v>
      </c>
      <c r="G305" s="68" t="n"/>
      <c r="H305" s="68">
        <f>E305*G305</f>
        <v/>
      </c>
      <c r="I305" s="68">
        <f>F305*G305</f>
        <v/>
      </c>
      <c r="J305" s="68">
        <f>SUM(H305:I305)</f>
        <v/>
      </c>
      <c r="K305" s="43" t="n"/>
    </row>
    <row r="306" hidden="1" ht="29" customHeight="1">
      <c r="A306" s="35" t="n">
        <v>298</v>
      </c>
      <c r="B306" s="40" t="inlineStr">
        <is>
          <t>J-HB-PS-1</t>
        </is>
      </c>
      <c r="C306" s="36" t="inlineStr">
        <is>
          <t>Pengadaan dan pemasangan pipa duct dengan system gantung 1 tiang besi, bentang s/d 40 meter</t>
        </is>
      </c>
      <c r="D306" s="35" t="inlineStr">
        <is>
          <t>meter</t>
        </is>
      </c>
      <c r="E306" s="42" t="n">
        <v>0</v>
      </c>
      <c r="F306" s="37" t="n">
        <v>40039</v>
      </c>
      <c r="G306" s="68" t="n"/>
      <c r="H306" s="68">
        <f>E306*G306</f>
        <v/>
      </c>
      <c r="I306" s="68">
        <f>F306*G306</f>
        <v/>
      </c>
      <c r="J306" s="68">
        <f>SUM(H306:I306)</f>
        <v/>
      </c>
      <c r="K306" s="43" t="n"/>
    </row>
    <row r="307" hidden="1" ht="29" customHeight="1">
      <c r="A307" s="35" t="n">
        <v>299</v>
      </c>
      <c r="B307" s="35" t="inlineStr">
        <is>
          <t>HB-PS-2</t>
        </is>
      </c>
      <c r="C307" s="36" t="inlineStr">
        <is>
          <t>Pengadaan dan pemasangan pipa duct dengan system gantung 2 tiang besi, bentang s/d 100 meter</t>
        </is>
      </c>
      <c r="D307" s="35" t="inlineStr">
        <is>
          <t>meter</t>
        </is>
      </c>
      <c r="E307" s="37" t="n">
        <v>314514</v>
      </c>
      <c r="F307" s="37" t="n">
        <v>46384</v>
      </c>
      <c r="G307" s="68" t="n"/>
      <c r="H307" s="68">
        <f>E307*G307</f>
        <v/>
      </c>
      <c r="I307" s="68">
        <f>F307*G307</f>
        <v/>
      </c>
      <c r="J307" s="68">
        <f>SUM(H307:I307)</f>
        <v/>
      </c>
      <c r="K307" s="43" t="n"/>
    </row>
    <row r="308" hidden="1" ht="29" customHeight="1">
      <c r="A308" s="35" t="n">
        <v>300</v>
      </c>
      <c r="B308" s="40" t="inlineStr">
        <is>
          <t>M-HB-PS-2</t>
        </is>
      </c>
      <c r="C308" s="36" t="inlineStr">
        <is>
          <t>Pengadaan dan pemasangan pipa duct dengan system gantung 2 tiang besi, bentang s/d 100 meter</t>
        </is>
      </c>
      <c r="D308" s="35" t="inlineStr">
        <is>
          <t>meter</t>
        </is>
      </c>
      <c r="E308" s="37" t="n">
        <v>314514</v>
      </c>
      <c r="F308" s="42" t="n">
        <v>0</v>
      </c>
      <c r="G308" s="68" t="n"/>
      <c r="H308" s="68">
        <f>E308*G308</f>
        <v/>
      </c>
      <c r="I308" s="68">
        <f>F308*G308</f>
        <v/>
      </c>
      <c r="J308" s="68">
        <f>SUM(H308:I308)</f>
        <v/>
      </c>
      <c r="K308" s="43" t="n"/>
    </row>
    <row r="309" hidden="1" ht="29" customHeight="1">
      <c r="A309" s="35" t="n">
        <v>301</v>
      </c>
      <c r="B309" s="40" t="inlineStr">
        <is>
          <t>J-HB-PS-2</t>
        </is>
      </c>
      <c r="C309" s="36" t="inlineStr">
        <is>
          <t>Pengadaan dan pemasangan pipa duct dengan system gantung 2 tiang besi, bentang s/d 100 meter</t>
        </is>
      </c>
      <c r="D309" s="35" t="inlineStr">
        <is>
          <t>meter</t>
        </is>
      </c>
      <c r="E309" s="42" t="n">
        <v>0</v>
      </c>
      <c r="F309" s="37" t="n">
        <v>46384</v>
      </c>
      <c r="G309" s="68" t="n"/>
      <c r="H309" s="68">
        <f>E309*G309</f>
        <v/>
      </c>
      <c r="I309" s="68">
        <f>F309*G309</f>
        <v/>
      </c>
      <c r="J309" s="68">
        <f>SUM(H309:I309)</f>
        <v/>
      </c>
      <c r="K309" s="43" t="n"/>
    </row>
    <row r="310" hidden="1" ht="29" customHeight="1">
      <c r="A310" s="35" t="n">
        <v>302</v>
      </c>
      <c r="B310" s="35" t="inlineStr">
        <is>
          <t>HB-PS-4</t>
        </is>
      </c>
      <c r="C310" s="36" t="inlineStr">
        <is>
          <t>Pengadaan dan pemasangan pipa duct dengan system gantung 4 tiang besi, bentang ≥ 100 meter</t>
        </is>
      </c>
      <c r="D310" s="35" t="inlineStr">
        <is>
          <t>meter</t>
        </is>
      </c>
      <c r="E310" s="37" t="n">
        <v>608773</v>
      </c>
      <c r="F310" s="37" t="n">
        <v>54115</v>
      </c>
      <c r="G310" s="68" t="n"/>
      <c r="H310" s="68">
        <f>E310*G310</f>
        <v/>
      </c>
      <c r="I310" s="68">
        <f>F310*G310</f>
        <v/>
      </c>
      <c r="J310" s="68">
        <f>SUM(H310:I310)</f>
        <v/>
      </c>
      <c r="K310" s="43" t="n"/>
    </row>
    <row r="311" hidden="1" ht="29" customHeight="1">
      <c r="A311" s="35" t="n">
        <v>303</v>
      </c>
      <c r="B311" s="40" t="inlineStr">
        <is>
          <t>M-HB-PS-4</t>
        </is>
      </c>
      <c r="C311" s="36" t="inlineStr">
        <is>
          <t>Pengadaan dan pemasangan pipa duct dengan system gantung 4 tiang besi, bentang ≥ 100 meter</t>
        </is>
      </c>
      <c r="D311" s="35" t="inlineStr">
        <is>
          <t>meter</t>
        </is>
      </c>
      <c r="E311" s="37" t="n">
        <v>608773</v>
      </c>
      <c r="F311" s="42" t="n">
        <v>0</v>
      </c>
      <c r="G311" s="68" t="n"/>
      <c r="H311" s="68">
        <f>E311*G311</f>
        <v/>
      </c>
      <c r="I311" s="68">
        <f>F311*G311</f>
        <v/>
      </c>
      <c r="J311" s="68">
        <f>SUM(H311:I311)</f>
        <v/>
      </c>
      <c r="K311" s="43" t="n"/>
    </row>
    <row r="312" hidden="1" ht="29" customHeight="1">
      <c r="A312" s="35" t="n">
        <v>304</v>
      </c>
      <c r="B312" s="40" t="inlineStr">
        <is>
          <t>J-HB-PS-4</t>
        </is>
      </c>
      <c r="C312" s="36" t="inlineStr">
        <is>
          <t>Pengadaan dan pemasangan pipa duct dengan system gantung 4 tiang besi, bentang ≥ 100 meter</t>
        </is>
      </c>
      <c r="D312" s="35" t="inlineStr">
        <is>
          <t>meter</t>
        </is>
      </c>
      <c r="E312" s="42" t="n">
        <v>0</v>
      </c>
      <c r="F312" s="37" t="n">
        <v>54115</v>
      </c>
      <c r="G312" s="68" t="n"/>
      <c r="H312" s="68">
        <f>E312*G312</f>
        <v/>
      </c>
      <c r="I312" s="68">
        <f>F312*G312</f>
        <v/>
      </c>
      <c r="J312" s="68">
        <f>SUM(H312:I312)</f>
        <v/>
      </c>
      <c r="K312" s="43" t="n"/>
    </row>
    <row r="313" hidden="1" ht="29" customHeight="1">
      <c r="A313" s="35" t="n">
        <v>305</v>
      </c>
      <c r="B313" s="35" t="inlineStr">
        <is>
          <t>DD-BMR-1</t>
        </is>
      </c>
      <c r="C313" s="36" t="inlineStr">
        <is>
          <t>Pengadaan dan pemasangan boring pada lintasan kereta api menggunakan 1 pipa galvanis diameter 100 mm tebal 3,65 mm</t>
        </is>
      </c>
      <c r="D313" s="35" t="inlineStr">
        <is>
          <t>track</t>
        </is>
      </c>
      <c r="E313" s="37" t="n">
        <v>1021092</v>
      </c>
      <c r="F313" s="37" t="n">
        <v>22264326</v>
      </c>
      <c r="G313" s="68" t="n"/>
      <c r="H313" s="68">
        <f>E313*G313</f>
        <v/>
      </c>
      <c r="I313" s="68">
        <f>F313*G313</f>
        <v/>
      </c>
      <c r="J313" s="68">
        <f>SUM(H313:I313)</f>
        <v/>
      </c>
      <c r="K313" s="43" t="n"/>
    </row>
    <row r="314" hidden="1" ht="29" customHeight="1">
      <c r="A314" s="35" t="n">
        <v>306</v>
      </c>
      <c r="B314" s="40" t="inlineStr">
        <is>
          <t>M-DD-BMR-1</t>
        </is>
      </c>
      <c r="C314" s="36" t="inlineStr">
        <is>
          <t>Pengadaan dan pemasangan boring pada lintasan kereta api menggunakan 1 pipa galvanis diameter 100 mm tebal 3,65 mm</t>
        </is>
      </c>
      <c r="D314" s="35" t="inlineStr">
        <is>
          <t>track</t>
        </is>
      </c>
      <c r="E314" s="37" t="n">
        <v>1021092</v>
      </c>
      <c r="F314" s="42" t="n">
        <v>0</v>
      </c>
      <c r="G314" s="68" t="n"/>
      <c r="H314" s="68">
        <f>E314*G314</f>
        <v/>
      </c>
      <c r="I314" s="68">
        <f>F314*G314</f>
        <v/>
      </c>
      <c r="J314" s="68">
        <f>SUM(H314:I314)</f>
        <v/>
      </c>
      <c r="K314" s="43" t="n"/>
    </row>
    <row r="315" hidden="1" ht="29" customHeight="1">
      <c r="A315" s="35" t="n">
        <v>307</v>
      </c>
      <c r="B315" s="40" t="inlineStr">
        <is>
          <t>J-DD-BMR-1</t>
        </is>
      </c>
      <c r="C315" s="36" t="inlineStr">
        <is>
          <t>Pengadaan dan pemasangan boring pada lintasan kereta api menggunakan 1 pipa galvanis diameter 100 mm tebal 3,65 mm</t>
        </is>
      </c>
      <c r="D315" s="35" t="inlineStr">
        <is>
          <t>track</t>
        </is>
      </c>
      <c r="E315" s="42" t="n">
        <v>0</v>
      </c>
      <c r="F315" s="37" t="n">
        <v>22264326</v>
      </c>
      <c r="G315" s="68" t="n"/>
      <c r="H315" s="68">
        <f>E315*G315</f>
        <v/>
      </c>
      <c r="I315" s="68">
        <f>F315*G315</f>
        <v/>
      </c>
      <c r="J315" s="68">
        <f>SUM(H315:I315)</f>
        <v/>
      </c>
      <c r="K315" s="43" t="n"/>
    </row>
    <row r="316" hidden="1" ht="29" customHeight="1">
      <c r="A316" s="35" t="n">
        <v>308</v>
      </c>
      <c r="B316" s="35" t="inlineStr">
        <is>
          <t>DD-BMR-2</t>
        </is>
      </c>
      <c r="C316" s="36" t="inlineStr">
        <is>
          <t>Pengadaan dan pemasangan boring pada lintasan kereta api menggunakan 2 pipa galvanis diameter 100 mm tebal 3,65 mm</t>
        </is>
      </c>
      <c r="D316" s="35" t="inlineStr">
        <is>
          <t>track</t>
        </is>
      </c>
      <c r="E316" s="37" t="n">
        <v>2042185</v>
      </c>
      <c r="F316" s="37" t="n">
        <v>33396489</v>
      </c>
      <c r="G316" s="68" t="n"/>
      <c r="H316" s="68">
        <f>E316*G316</f>
        <v/>
      </c>
      <c r="I316" s="68">
        <f>F316*G316</f>
        <v/>
      </c>
      <c r="J316" s="68">
        <f>SUM(H316:I316)</f>
        <v/>
      </c>
      <c r="K316" s="43" t="n"/>
    </row>
    <row r="317" hidden="1" ht="29" customHeight="1">
      <c r="A317" s="35" t="n">
        <v>309</v>
      </c>
      <c r="B317" s="40" t="inlineStr">
        <is>
          <t>M-DD-BMR-2</t>
        </is>
      </c>
      <c r="C317" s="36" t="inlineStr">
        <is>
          <t>Pengadaan dan pemasangan boring pada lintasan kereta api menggunakan 2 pipa galvanis diameter 100 mm tebal 3,65 mm</t>
        </is>
      </c>
      <c r="D317" s="35" t="inlineStr">
        <is>
          <t>track</t>
        </is>
      </c>
      <c r="E317" s="37" t="n">
        <v>2042185</v>
      </c>
      <c r="F317" s="42" t="n">
        <v>0</v>
      </c>
      <c r="G317" s="68" t="n"/>
      <c r="H317" s="68">
        <f>E317*G317</f>
        <v/>
      </c>
      <c r="I317" s="68">
        <f>F317*G317</f>
        <v/>
      </c>
      <c r="J317" s="68">
        <f>SUM(H317:I317)</f>
        <v/>
      </c>
      <c r="K317" s="43" t="n"/>
    </row>
    <row r="318" hidden="1" ht="29" customHeight="1">
      <c r="A318" s="35" t="n">
        <v>310</v>
      </c>
      <c r="B318" s="40" t="inlineStr">
        <is>
          <t>J-DD-BMR-2</t>
        </is>
      </c>
      <c r="C318" s="36" t="inlineStr">
        <is>
          <t>Pengadaan dan pemasangan boring pada lintasan kereta api menggunakan 2 pipa galvanis diameter 100 mm tebal 3,65 mm</t>
        </is>
      </c>
      <c r="D318" s="35" t="inlineStr">
        <is>
          <t>track</t>
        </is>
      </c>
      <c r="E318" s="42" t="n">
        <v>0</v>
      </c>
      <c r="F318" s="37" t="n">
        <v>33396489</v>
      </c>
      <c r="G318" s="68" t="n"/>
      <c r="H318" s="68">
        <f>E318*G318</f>
        <v/>
      </c>
      <c r="I318" s="68">
        <f>F318*G318</f>
        <v/>
      </c>
      <c r="J318" s="68">
        <f>SUM(H318:I318)</f>
        <v/>
      </c>
      <c r="K318" s="43" t="n"/>
    </row>
    <row r="319" hidden="1" ht="29" customHeight="1">
      <c r="A319" s="35" t="n">
        <v>311</v>
      </c>
      <c r="B319" s="35" t="inlineStr">
        <is>
          <t>DD-BMR-4</t>
        </is>
      </c>
      <c r="C319" s="36" t="inlineStr">
        <is>
          <t>Pengadaan dan pemasangan boring pada lintasan kereta api menggunakan 4 pipa galvanis diameter 100 mm tebal 3,65 mm</t>
        </is>
      </c>
      <c r="D319" s="35" t="inlineStr">
        <is>
          <t>track</t>
        </is>
      </c>
      <c r="E319" s="37" t="n">
        <v>4084369</v>
      </c>
      <c r="F319" s="37" t="n">
        <v>44528653</v>
      </c>
      <c r="G319" s="68" t="n"/>
      <c r="H319" s="68">
        <f>E319*G319</f>
        <v/>
      </c>
      <c r="I319" s="68">
        <f>F319*G319</f>
        <v/>
      </c>
      <c r="J319" s="68">
        <f>SUM(H319:I319)</f>
        <v/>
      </c>
      <c r="K319" s="43" t="n"/>
    </row>
    <row r="320" hidden="1" ht="29" customHeight="1">
      <c r="A320" s="35" t="n">
        <v>312</v>
      </c>
      <c r="B320" s="40" t="inlineStr">
        <is>
          <t>M-DD-BMR-4</t>
        </is>
      </c>
      <c r="C320" s="36" t="inlineStr">
        <is>
          <t>Pengadaan dan pemasangan boring pada lintasan kereta api menggunakan 4 pipa galvanis diameter 100 mm tebal 3,65 mm</t>
        </is>
      </c>
      <c r="D320" s="35" t="inlineStr">
        <is>
          <t>track</t>
        </is>
      </c>
      <c r="E320" s="37" t="n">
        <v>4084369</v>
      </c>
      <c r="F320" s="42" t="n">
        <v>0</v>
      </c>
      <c r="G320" s="68" t="n"/>
      <c r="H320" s="68">
        <f>E320*G320</f>
        <v/>
      </c>
      <c r="I320" s="68">
        <f>F320*G320</f>
        <v/>
      </c>
      <c r="J320" s="68">
        <f>SUM(H320:I320)</f>
        <v/>
      </c>
      <c r="K320" s="43" t="n"/>
    </row>
    <row r="321" hidden="1" ht="29" customHeight="1">
      <c r="A321" s="35" t="n">
        <v>313</v>
      </c>
      <c r="B321" s="40" t="inlineStr">
        <is>
          <t>J-DD-BMR-4</t>
        </is>
      </c>
      <c r="C321" s="36" t="inlineStr">
        <is>
          <t>Pengadaan dan pemasangan boring pada lintasan kereta api menggunakan 4 pipa galvanis diameter 100 mm tebal 3,65 mm</t>
        </is>
      </c>
      <c r="D321" s="35" t="inlineStr">
        <is>
          <t>track</t>
        </is>
      </c>
      <c r="E321" s="42" t="n">
        <v>0</v>
      </c>
      <c r="F321" s="37" t="n">
        <v>44528653</v>
      </c>
      <c r="G321" s="68" t="n"/>
      <c r="H321" s="68">
        <f>E321*G321</f>
        <v/>
      </c>
      <c r="I321" s="68">
        <f>F321*G321</f>
        <v/>
      </c>
      <c r="J321" s="68">
        <f>SUM(H321:I321)</f>
        <v/>
      </c>
      <c r="K321" s="43" t="n"/>
    </row>
    <row r="322" hidden="1" ht="29" customHeight="1">
      <c r="A322" s="35" t="n">
        <v>314</v>
      </c>
      <c r="B322" s="35" t="inlineStr">
        <is>
          <t>DC-SD-28-1</t>
        </is>
      </c>
      <c r="C322" s="36" t="inlineStr">
        <is>
          <t>Pengadaan dan pemasangan 1 subduct 28/32 mm pada polongan route duct</t>
        </is>
      </c>
      <c r="D322" s="35" t="inlineStr">
        <is>
          <t>meter</t>
        </is>
      </c>
      <c r="E322" s="37" t="n">
        <v>9203</v>
      </c>
      <c r="F322" s="37" t="n">
        <v>1702</v>
      </c>
      <c r="G322" s="68" t="n"/>
      <c r="H322" s="68">
        <f>E322*G322</f>
        <v/>
      </c>
      <c r="I322" s="68">
        <f>F322*G322</f>
        <v/>
      </c>
      <c r="J322" s="68">
        <f>SUM(H322:I322)</f>
        <v/>
      </c>
      <c r="K322" s="43" t="n"/>
    </row>
    <row r="323" hidden="1" ht="29" customHeight="1">
      <c r="A323" s="35" t="n">
        <v>315</v>
      </c>
      <c r="B323" s="40" t="inlineStr">
        <is>
          <t>M-DC-SD-28-1</t>
        </is>
      </c>
      <c r="C323" s="36" t="inlineStr">
        <is>
          <t>Pengadaan dan pemasangan 1 subduct 28/32 mm pada polongan route duct</t>
        </is>
      </c>
      <c r="D323" s="35" t="inlineStr">
        <is>
          <t>meter</t>
        </is>
      </c>
      <c r="E323" s="37" t="n">
        <v>9203</v>
      </c>
      <c r="F323" s="42" t="n">
        <v>0</v>
      </c>
      <c r="G323" s="68" t="n"/>
      <c r="H323" s="68">
        <f>E323*G323</f>
        <v/>
      </c>
      <c r="I323" s="68">
        <f>F323*G323</f>
        <v/>
      </c>
      <c r="J323" s="68">
        <f>SUM(H323:I323)</f>
        <v/>
      </c>
      <c r="K323" s="43" t="n"/>
    </row>
    <row r="324" hidden="1" ht="29" customHeight="1">
      <c r="A324" s="35" t="n">
        <v>316</v>
      </c>
      <c r="B324" s="40" t="inlineStr">
        <is>
          <t>J-DC-SD-28-1</t>
        </is>
      </c>
      <c r="C324" s="36" t="inlineStr">
        <is>
          <t>Pengadaan dan pemasangan 1 subduct 28/32 mm pada polongan route duct</t>
        </is>
      </c>
      <c r="D324" s="35" t="inlineStr">
        <is>
          <t>meter</t>
        </is>
      </c>
      <c r="E324" s="42" t="n">
        <v>0</v>
      </c>
      <c r="F324" s="37" t="n">
        <v>1702</v>
      </c>
      <c r="G324" s="68" t="n"/>
      <c r="H324" s="68">
        <f>E324*G324</f>
        <v/>
      </c>
      <c r="I324" s="68">
        <f>F324*G324</f>
        <v/>
      </c>
      <c r="J324" s="68">
        <f>SUM(H324:I324)</f>
        <v/>
      </c>
      <c r="K324" s="43" t="n"/>
    </row>
    <row r="325" hidden="1" ht="29" customHeight="1">
      <c r="A325" s="35" t="n">
        <v>317</v>
      </c>
      <c r="B325" s="35" t="inlineStr">
        <is>
          <t>DC-SD-28-3</t>
        </is>
      </c>
      <c r="C325" s="36" t="inlineStr">
        <is>
          <t>Pengadaan dan pemasangan 1 subduct 28/32 mm pada polongan route duct, 3 pipa</t>
        </is>
      </c>
      <c r="D325" s="35" t="inlineStr">
        <is>
          <t>meter</t>
        </is>
      </c>
      <c r="E325" s="37" t="n">
        <v>29355</v>
      </c>
      <c r="F325" s="37" t="n">
        <v>2145</v>
      </c>
      <c r="G325" s="68" t="n"/>
      <c r="H325" s="68">
        <f>E325*G325</f>
        <v/>
      </c>
      <c r="I325" s="68">
        <f>F325*G325</f>
        <v/>
      </c>
      <c r="J325" s="68">
        <f>SUM(H325:I325)</f>
        <v/>
      </c>
      <c r="K325" s="43" t="n"/>
    </row>
    <row r="326" hidden="1" ht="29" customHeight="1">
      <c r="A326" s="35" t="n">
        <v>318</v>
      </c>
      <c r="B326" s="40" t="inlineStr">
        <is>
          <t>M-DC-SD-28-3</t>
        </is>
      </c>
      <c r="C326" s="36" t="inlineStr">
        <is>
          <t>Pengadaan dan pemasangan 1 subduct 28/32 mm pada polongan route duct, 3 pipa</t>
        </is>
      </c>
      <c r="D326" s="35" t="inlineStr">
        <is>
          <t>meter</t>
        </is>
      </c>
      <c r="E326" s="37" t="n">
        <v>29355</v>
      </c>
      <c r="F326" s="42" t="n">
        <v>0</v>
      </c>
      <c r="G326" s="68" t="n"/>
      <c r="H326" s="68">
        <f>E326*G326</f>
        <v/>
      </c>
      <c r="I326" s="68">
        <f>F326*G326</f>
        <v/>
      </c>
      <c r="J326" s="68">
        <f>SUM(H326:I326)</f>
        <v/>
      </c>
      <c r="K326" s="43" t="n"/>
    </row>
    <row r="327" hidden="1" ht="29" customHeight="1">
      <c r="A327" s="35" t="n">
        <v>319</v>
      </c>
      <c r="B327" s="40" t="inlineStr">
        <is>
          <t>J-DC-SD-28-3</t>
        </is>
      </c>
      <c r="C327" s="36" t="inlineStr">
        <is>
          <t>Pengadaan dan pemasangan 1 subduct 28/32 mm pada polongan route duct, 3 pipa</t>
        </is>
      </c>
      <c r="D327" s="35" t="inlineStr">
        <is>
          <t>meter</t>
        </is>
      </c>
      <c r="E327" s="42" t="n">
        <v>0</v>
      </c>
      <c r="F327" s="37" t="n">
        <v>2145</v>
      </c>
      <c r="G327" s="68" t="n"/>
      <c r="H327" s="68">
        <f>E327*G327</f>
        <v/>
      </c>
      <c r="I327" s="68">
        <f>F327*G327</f>
        <v/>
      </c>
      <c r="J327" s="68">
        <f>SUM(H327:I327)</f>
        <v/>
      </c>
      <c r="K327" s="43" t="n"/>
    </row>
    <row r="328" hidden="1" ht="29" customHeight="1">
      <c r="A328" s="35" t="n">
        <v>320</v>
      </c>
      <c r="B328" s="35" t="inlineStr">
        <is>
          <t>DC-SD-33-1</t>
        </is>
      </c>
      <c r="C328" s="36" t="inlineStr">
        <is>
          <t>Pengadaan dan pemasangan 1 subduct 40/33 pada polongan route duct</t>
        </is>
      </c>
      <c r="D328" s="35" t="inlineStr">
        <is>
          <t>meter</t>
        </is>
      </c>
      <c r="E328" s="37" t="n">
        <v>9891</v>
      </c>
      <c r="F328" s="37" t="n">
        <v>1702</v>
      </c>
      <c r="G328" s="68" t="n"/>
      <c r="H328" s="68">
        <f>E328*G328</f>
        <v/>
      </c>
      <c r="I328" s="68">
        <f>F328*G328</f>
        <v/>
      </c>
      <c r="J328" s="68">
        <f>SUM(H328:I328)</f>
        <v/>
      </c>
      <c r="K328" s="43" t="n"/>
    </row>
    <row r="329" hidden="1" ht="29" customHeight="1">
      <c r="A329" s="35" t="n">
        <v>321</v>
      </c>
      <c r="B329" s="40" t="inlineStr">
        <is>
          <t>M-DC-SD-33-1</t>
        </is>
      </c>
      <c r="C329" s="36" t="inlineStr">
        <is>
          <t>Pengadaan dan pemasangan 1 subduct 40/33 pada polongan route duct</t>
        </is>
      </c>
      <c r="D329" s="35" t="inlineStr">
        <is>
          <t>meter</t>
        </is>
      </c>
      <c r="E329" s="37" t="n">
        <v>9891</v>
      </c>
      <c r="F329" s="42" t="n">
        <v>0</v>
      </c>
      <c r="G329" s="68" t="n"/>
      <c r="H329" s="68">
        <f>E329*G329</f>
        <v/>
      </c>
      <c r="I329" s="68">
        <f>F329*G329</f>
        <v/>
      </c>
      <c r="J329" s="68">
        <f>SUM(H329:I329)</f>
        <v/>
      </c>
      <c r="K329" s="43" t="n"/>
    </row>
    <row r="330" hidden="1" ht="29" customHeight="1">
      <c r="A330" s="35" t="n">
        <v>322</v>
      </c>
      <c r="B330" s="40" t="inlineStr">
        <is>
          <t>J-DC-SD-33-1</t>
        </is>
      </c>
      <c r="C330" s="36" t="inlineStr">
        <is>
          <t>Pengadaan dan pemasangan 1 subduct 40/33 pada polongan route duct</t>
        </is>
      </c>
      <c r="D330" s="35" t="inlineStr">
        <is>
          <t>meter</t>
        </is>
      </c>
      <c r="E330" s="42" t="n">
        <v>0</v>
      </c>
      <c r="F330" s="37" t="n">
        <v>1702</v>
      </c>
      <c r="G330" s="68" t="n"/>
      <c r="H330" s="68">
        <f>E330*G330</f>
        <v/>
      </c>
      <c r="I330" s="68">
        <f>F330*G330</f>
        <v/>
      </c>
      <c r="J330" s="68">
        <f>SUM(H330:I330)</f>
        <v/>
      </c>
      <c r="K330" s="43" t="n"/>
    </row>
    <row r="331" hidden="1" ht="29" customHeight="1">
      <c r="A331" s="35" t="n">
        <v>323</v>
      </c>
      <c r="B331" s="35" t="inlineStr">
        <is>
          <t>DC-SD-33-2</t>
        </is>
      </c>
      <c r="C331" s="36" t="inlineStr">
        <is>
          <t>Pengadaan dan pemasangan 1 subduct 40/33 pada polongan route duct, 2 pipa</t>
        </is>
      </c>
      <c r="D331" s="35" t="inlineStr">
        <is>
          <t>meter</t>
        </is>
      </c>
      <c r="E331" s="37" t="n">
        <v>21334</v>
      </c>
      <c r="F331" s="37" t="n">
        <v>2136</v>
      </c>
      <c r="G331" s="68" t="n"/>
      <c r="H331" s="68">
        <f>E331*G331</f>
        <v/>
      </c>
      <c r="I331" s="68">
        <f>F331*G331</f>
        <v/>
      </c>
      <c r="J331" s="68">
        <f>SUM(H331:I331)</f>
        <v/>
      </c>
      <c r="K331" s="43" t="n"/>
    </row>
    <row r="332" hidden="1" ht="29" customHeight="1">
      <c r="A332" s="35" t="n">
        <v>324</v>
      </c>
      <c r="B332" s="40" t="inlineStr">
        <is>
          <t>M-DC-SD-33-2</t>
        </is>
      </c>
      <c r="C332" s="36" t="inlineStr">
        <is>
          <t>Pengadaan dan pemasangan 1 subduct 40/33 pada polongan route duct, 2 pipa</t>
        </is>
      </c>
      <c r="D332" s="35" t="inlineStr">
        <is>
          <t>meter</t>
        </is>
      </c>
      <c r="E332" s="37" t="n">
        <v>21334</v>
      </c>
      <c r="F332" s="42" t="n">
        <v>0</v>
      </c>
      <c r="G332" s="68" t="n"/>
      <c r="H332" s="68">
        <f>E332*G332</f>
        <v/>
      </c>
      <c r="I332" s="68">
        <f>F332*G332</f>
        <v/>
      </c>
      <c r="J332" s="68">
        <f>SUM(H332:I332)</f>
        <v/>
      </c>
      <c r="K332" s="43" t="n"/>
    </row>
    <row r="333" hidden="1" ht="29" customHeight="1">
      <c r="A333" s="35" t="n">
        <v>325</v>
      </c>
      <c r="B333" s="40" t="inlineStr">
        <is>
          <t>J-DC-SD-33-2</t>
        </is>
      </c>
      <c r="C333" s="36" t="inlineStr">
        <is>
          <t>Pengadaan dan pemasangan 1 subduct 40/33 pada polongan route duct, 2 pipa</t>
        </is>
      </c>
      <c r="D333" s="35" t="inlineStr">
        <is>
          <t>meter</t>
        </is>
      </c>
      <c r="E333" s="42" t="n">
        <v>0</v>
      </c>
      <c r="F333" s="37" t="n">
        <v>2136</v>
      </c>
      <c r="G333" s="68" t="n"/>
      <c r="H333" s="68">
        <f>E333*G333</f>
        <v/>
      </c>
      <c r="I333" s="68">
        <f>F333*G333</f>
        <v/>
      </c>
      <c r="J333" s="68">
        <f>SUM(H333:I333)</f>
        <v/>
      </c>
      <c r="K333" s="43" t="n"/>
    </row>
    <row r="334" hidden="1" ht="29" customHeight="1">
      <c r="A334" s="35" t="n">
        <v>326</v>
      </c>
      <c r="B334" s="35" t="inlineStr">
        <is>
          <t>DC-SD-43-1</t>
        </is>
      </c>
      <c r="C334" s="36" t="inlineStr">
        <is>
          <t>Pengadaan dan pemasangan 1 subduct 50/42 pada polongan route duct</t>
        </is>
      </c>
      <c r="D334" s="35" t="inlineStr">
        <is>
          <t>meter</t>
        </is>
      </c>
      <c r="E334" s="37" t="n">
        <v>23257</v>
      </c>
      <c r="F334" s="37" t="n">
        <v>1643</v>
      </c>
      <c r="G334" s="68" t="n"/>
      <c r="H334" s="68">
        <f>E334*G334</f>
        <v/>
      </c>
      <c r="I334" s="68">
        <f>F334*G334</f>
        <v/>
      </c>
      <c r="J334" s="68">
        <f>SUM(H334:I334)</f>
        <v/>
      </c>
      <c r="K334" s="43" t="n"/>
    </row>
    <row r="335" hidden="1" ht="29" customHeight="1">
      <c r="A335" s="35" t="n">
        <v>327</v>
      </c>
      <c r="B335" s="40" t="inlineStr">
        <is>
          <t>M-DC-SD-43-1</t>
        </is>
      </c>
      <c r="C335" s="36" t="inlineStr">
        <is>
          <t>Pengadaan dan pemasangan 1 subduct 50/42 pada polongan route duct</t>
        </is>
      </c>
      <c r="D335" s="35" t="inlineStr">
        <is>
          <t>meter</t>
        </is>
      </c>
      <c r="E335" s="37" t="n">
        <v>23257</v>
      </c>
      <c r="F335" s="42" t="n">
        <v>0</v>
      </c>
      <c r="G335" s="68" t="n"/>
      <c r="H335" s="68">
        <f>E335*G335</f>
        <v/>
      </c>
      <c r="I335" s="68">
        <f>F335*G335</f>
        <v/>
      </c>
      <c r="J335" s="68">
        <f>SUM(H335:I335)</f>
        <v/>
      </c>
      <c r="K335" s="43" t="n"/>
    </row>
    <row r="336" hidden="1" ht="29" customHeight="1">
      <c r="A336" s="35" t="n">
        <v>328</v>
      </c>
      <c r="B336" s="40" t="inlineStr">
        <is>
          <t>J-DC-SD-43-1</t>
        </is>
      </c>
      <c r="C336" s="36" t="inlineStr">
        <is>
          <t>Pengadaan dan pemasangan 1 subduct 50/42 pada polongan route duct</t>
        </is>
      </c>
      <c r="D336" s="35" t="inlineStr">
        <is>
          <t>meter</t>
        </is>
      </c>
      <c r="E336" s="42" t="n">
        <v>0</v>
      </c>
      <c r="F336" s="37" t="n">
        <v>1643</v>
      </c>
      <c r="G336" s="68" t="n"/>
      <c r="H336" s="68">
        <f>E336*G336</f>
        <v/>
      </c>
      <c r="I336" s="68">
        <f>F336*G336</f>
        <v/>
      </c>
      <c r="J336" s="68">
        <f>SUM(H336:I336)</f>
        <v/>
      </c>
      <c r="K336" s="43" t="n"/>
    </row>
    <row r="337" hidden="1" ht="29" customHeight="1">
      <c r="A337" s="35" t="n">
        <v>329</v>
      </c>
      <c r="B337" s="35" t="inlineStr">
        <is>
          <t>DC-SD-43-2</t>
        </is>
      </c>
      <c r="C337" s="36" t="inlineStr">
        <is>
          <t>Engadaan dan pemasangan 1 subduct 50/42 pada polongan route duct, 2 pipa</t>
        </is>
      </c>
      <c r="D337" s="35" t="inlineStr">
        <is>
          <t>meter</t>
        </is>
      </c>
      <c r="E337" s="37" t="n">
        <v>46515</v>
      </c>
      <c r="F337" s="37" t="n">
        <v>2136</v>
      </c>
      <c r="G337" s="68" t="n"/>
      <c r="H337" s="68">
        <f>E337*G337</f>
        <v/>
      </c>
      <c r="I337" s="68">
        <f>F337*G337</f>
        <v/>
      </c>
      <c r="J337" s="68">
        <f>SUM(H337:I337)</f>
        <v/>
      </c>
      <c r="K337" s="43" t="n"/>
    </row>
    <row r="338" hidden="1" ht="29" customHeight="1">
      <c r="A338" s="35" t="n">
        <v>330</v>
      </c>
      <c r="B338" s="40" t="inlineStr">
        <is>
          <t>M-DC-SD-43-2</t>
        </is>
      </c>
      <c r="C338" s="36" t="inlineStr">
        <is>
          <t>Engadaan dan pemasangan 1 subduct 50/42 pada polongan route duct, 2 pipa</t>
        </is>
      </c>
      <c r="D338" s="35" t="inlineStr">
        <is>
          <t>meter</t>
        </is>
      </c>
      <c r="E338" s="37" t="n">
        <v>46515</v>
      </c>
      <c r="F338" s="42" t="n">
        <v>0</v>
      </c>
      <c r="G338" s="68" t="n"/>
      <c r="H338" s="68">
        <f>E338*G338</f>
        <v/>
      </c>
      <c r="I338" s="68">
        <f>F338*G338</f>
        <v/>
      </c>
      <c r="J338" s="68">
        <f>SUM(H338:I338)</f>
        <v/>
      </c>
      <c r="K338" s="43" t="n"/>
    </row>
    <row r="339" hidden="1" ht="29" customHeight="1">
      <c r="A339" s="35" t="n">
        <v>331</v>
      </c>
      <c r="B339" s="40" t="inlineStr">
        <is>
          <t>J-DC-SD-43-2</t>
        </is>
      </c>
      <c r="C339" s="36" t="inlineStr">
        <is>
          <t>Engadaan dan pemasangan 1 subduct 50/42 pada polongan route duct, 2 pipa</t>
        </is>
      </c>
      <c r="D339" s="35" t="inlineStr">
        <is>
          <t>meter</t>
        </is>
      </c>
      <c r="E339" s="42" t="n">
        <v>0</v>
      </c>
      <c r="F339" s="37" t="n">
        <v>2136</v>
      </c>
      <c r="G339" s="68" t="n"/>
      <c r="H339" s="68">
        <f>E339*G339</f>
        <v/>
      </c>
      <c r="I339" s="68">
        <f>F339*G339</f>
        <v/>
      </c>
      <c r="J339" s="68">
        <f>SUM(H339:I339)</f>
        <v/>
      </c>
      <c r="K339" s="43" t="n"/>
    </row>
    <row r="340" hidden="1" ht="29" customHeight="1">
      <c r="A340" s="35" t="n">
        <v>332</v>
      </c>
      <c r="B340" s="35" t="inlineStr">
        <is>
          <t>DCD-PVC-1</t>
        </is>
      </c>
      <c r="C340" s="36" t="inlineStr">
        <is>
          <t>Pengadaan dan pemasangan duct cable penanggal diameter pipa pvc 2 inch (class aw) 1 pipa</t>
        </is>
      </c>
      <c r="D340" s="35" t="inlineStr">
        <is>
          <t>meter</t>
        </is>
      </c>
      <c r="E340" s="37" t="n">
        <v>14358</v>
      </c>
      <c r="F340" s="37" t="n">
        <v>1623</v>
      </c>
      <c r="G340" s="68" t="n"/>
      <c r="H340" s="68">
        <f>E340*G340</f>
        <v/>
      </c>
      <c r="I340" s="68">
        <f>F340*G340</f>
        <v/>
      </c>
      <c r="J340" s="68">
        <f>SUM(H340:I340)</f>
        <v/>
      </c>
      <c r="K340" s="43" t="n"/>
    </row>
    <row r="341" hidden="1" ht="29" customHeight="1">
      <c r="A341" s="35" t="n">
        <v>333</v>
      </c>
      <c r="B341" s="40" t="inlineStr">
        <is>
          <t>M-DCD-PVC-1</t>
        </is>
      </c>
      <c r="C341" s="36" t="inlineStr">
        <is>
          <t>Pengadaan dan pemasangan duct cable penanggal diameter pipa pvc 2 inch (class aw) 1 pipa</t>
        </is>
      </c>
      <c r="D341" s="35" t="inlineStr">
        <is>
          <t>meter</t>
        </is>
      </c>
      <c r="E341" s="37" t="n">
        <v>14358</v>
      </c>
      <c r="F341" s="42" t="n">
        <v>0</v>
      </c>
      <c r="G341" s="68" t="n"/>
      <c r="H341" s="68">
        <f>E341*G341</f>
        <v/>
      </c>
      <c r="I341" s="68">
        <f>F341*G341</f>
        <v/>
      </c>
      <c r="J341" s="68">
        <f>SUM(H341:I341)</f>
        <v/>
      </c>
      <c r="K341" s="43" t="n"/>
    </row>
    <row r="342" hidden="1" ht="29" customHeight="1">
      <c r="A342" s="35" t="n">
        <v>334</v>
      </c>
      <c r="B342" s="40" t="inlineStr">
        <is>
          <t>J-DCD-PVC-1</t>
        </is>
      </c>
      <c r="C342" s="36" t="inlineStr">
        <is>
          <t>Pengadaan dan pemasangan duct cable penanggal diameter pipa pvc 2 inch (class aw) 1 pipa</t>
        </is>
      </c>
      <c r="D342" s="35" t="inlineStr">
        <is>
          <t>meter</t>
        </is>
      </c>
      <c r="E342" s="42" t="n">
        <v>0</v>
      </c>
      <c r="F342" s="37" t="n">
        <v>1623</v>
      </c>
      <c r="G342" s="68" t="n"/>
      <c r="H342" s="68">
        <f>E342*G342</f>
        <v/>
      </c>
      <c r="I342" s="68">
        <f>F342*G342</f>
        <v/>
      </c>
      <c r="J342" s="68">
        <f>SUM(H342:I342)</f>
        <v/>
      </c>
      <c r="K342" s="43" t="n"/>
    </row>
    <row r="343" hidden="1" ht="43.5" customHeight="1">
      <c r="A343" s="35" t="n">
        <v>335</v>
      </c>
      <c r="B343" s="35" t="inlineStr">
        <is>
          <t>DD-BM-100-1</t>
        </is>
      </c>
      <c r="C343" s="36" t="inlineStr">
        <is>
          <t>Pengadaan dan pemasangan pipa galvanis dengan ukuran diameter 100 mm dan ketebalan 3,65 mm dengan cara boring manual /mesin 1 pipa dengan kedalaman minimal 150 cm</t>
        </is>
      </c>
      <c r="D343" s="35" t="inlineStr">
        <is>
          <t>meter</t>
        </is>
      </c>
      <c r="E343" s="37" t="n">
        <v>340364</v>
      </c>
      <c r="F343" s="37" t="n">
        <v>72159</v>
      </c>
      <c r="G343" s="68" t="n"/>
      <c r="H343" s="68">
        <f>E343*G343</f>
        <v/>
      </c>
      <c r="I343" s="68">
        <f>F343*G343</f>
        <v/>
      </c>
      <c r="J343" s="68">
        <f>SUM(H343:I343)</f>
        <v/>
      </c>
      <c r="K343" s="43" t="n"/>
    </row>
    <row r="344" hidden="1" ht="43.5" customHeight="1">
      <c r="A344" s="35" t="n">
        <v>336</v>
      </c>
      <c r="B344" s="40" t="inlineStr">
        <is>
          <t>M-DD-BM-100-1</t>
        </is>
      </c>
      <c r="C344" s="36" t="inlineStr">
        <is>
          <t>Pengadaan dan pemasangan pipa galvanis dengan ukuran diameter 100 mm dan ketebalan 3,65 mm dengan cara boring manual /mesin 1 pipa dengan kedalaman minimal 150 cm</t>
        </is>
      </c>
      <c r="D344" s="35" t="inlineStr">
        <is>
          <t>meter</t>
        </is>
      </c>
      <c r="E344" s="37" t="n">
        <v>340364</v>
      </c>
      <c r="F344" s="42" t="n">
        <v>0</v>
      </c>
      <c r="G344" s="68" t="n"/>
      <c r="H344" s="68">
        <f>E344*G344</f>
        <v/>
      </c>
      <c r="I344" s="68">
        <f>F344*G344</f>
        <v/>
      </c>
      <c r="J344" s="68">
        <f>SUM(H344:I344)</f>
        <v/>
      </c>
      <c r="K344" s="43" t="n"/>
    </row>
    <row r="345" hidden="1" ht="43.5" customHeight="1">
      <c r="A345" s="35" t="n">
        <v>337</v>
      </c>
      <c r="B345" s="40" t="inlineStr">
        <is>
          <t>J-DD-BM-100-1</t>
        </is>
      </c>
      <c r="C345" s="36" t="inlineStr">
        <is>
          <t>Pengadaan dan pemasangan pipa galvanis dengan ukuran diameter 100 mm dan ketebalan 3,65 mm dengan cara boring manual /mesin 1 pipa dengan kedalaman minimal 150 cm</t>
        </is>
      </c>
      <c r="D345" s="35" t="inlineStr">
        <is>
          <t>meter</t>
        </is>
      </c>
      <c r="E345" s="42" t="n">
        <v>0</v>
      </c>
      <c r="F345" s="37" t="n">
        <v>72159</v>
      </c>
      <c r="G345" s="68" t="n"/>
      <c r="H345" s="68">
        <f>E345*G345</f>
        <v/>
      </c>
      <c r="I345" s="68">
        <f>F345*G345</f>
        <v/>
      </c>
      <c r="J345" s="68">
        <f>SUM(H345:I345)</f>
        <v/>
      </c>
      <c r="K345" s="43" t="n"/>
    </row>
    <row r="346" hidden="1" ht="43.5" customHeight="1">
      <c r="A346" s="35" t="n">
        <v>338</v>
      </c>
      <c r="B346" s="35" t="inlineStr">
        <is>
          <t>DD-BM-100-2</t>
        </is>
      </c>
      <c r="C346" s="36" t="inlineStr">
        <is>
          <t>Pengadaan dan pemasangan pipa galvanis dengan ukuran diameter 100 mm dan ketebalan 3,65 mm dengan cara boring manual /mesin 1 pipa dengan kedalaman minimal 150 cm, 2 pipa</t>
        </is>
      </c>
      <c r="D346" s="35" t="inlineStr">
        <is>
          <t>meter</t>
        </is>
      </c>
      <c r="E346" s="37" t="n">
        <v>680728</v>
      </c>
      <c r="F346" s="37" t="n">
        <v>74837</v>
      </c>
      <c r="G346" s="68" t="n"/>
      <c r="H346" s="68">
        <f>E346*G346</f>
        <v/>
      </c>
      <c r="I346" s="68">
        <f>F346*G346</f>
        <v/>
      </c>
      <c r="J346" s="68">
        <f>SUM(H346:I346)</f>
        <v/>
      </c>
      <c r="K346" s="43" t="n"/>
    </row>
    <row r="347" hidden="1" ht="43.5" customHeight="1">
      <c r="A347" s="35" t="n">
        <v>339</v>
      </c>
      <c r="B347" s="40" t="inlineStr">
        <is>
          <t>M-DD-BM-100-2</t>
        </is>
      </c>
      <c r="C347" s="36" t="inlineStr">
        <is>
          <t>Pengadaan dan pemasangan pipa galvanis dengan ukuran diameter 100 mm dan ketebalan 3,65 mm dengan cara boring manual /mesin 1 pipa dengan kedalaman minimal 150 cm, 2 pipa</t>
        </is>
      </c>
      <c r="D347" s="35" t="inlineStr">
        <is>
          <t>meter</t>
        </is>
      </c>
      <c r="E347" s="37" t="n">
        <v>680728</v>
      </c>
      <c r="F347" s="42" t="n">
        <v>0</v>
      </c>
      <c r="G347" s="68" t="n"/>
      <c r="H347" s="68">
        <f>E347*G347</f>
        <v/>
      </c>
      <c r="I347" s="68">
        <f>F347*G347</f>
        <v/>
      </c>
      <c r="J347" s="68">
        <f>SUM(H347:I347)</f>
        <v/>
      </c>
      <c r="K347" s="43" t="n"/>
    </row>
    <row r="348" hidden="1" ht="43.5" customHeight="1">
      <c r="A348" s="35" t="n">
        <v>340</v>
      </c>
      <c r="B348" s="40" t="inlineStr">
        <is>
          <t>J-DD-BM-100-2</t>
        </is>
      </c>
      <c r="C348" s="36" t="inlineStr">
        <is>
          <t>Pengadaan dan pemasangan pipa galvanis dengan ukuran diameter 100 mm dan ketebalan 3,65 mm dengan cara boring manual /mesin 1 pipa dengan kedalaman minimal 150 cm, 2 pipa</t>
        </is>
      </c>
      <c r="D348" s="35" t="inlineStr">
        <is>
          <t>meter</t>
        </is>
      </c>
      <c r="E348" s="42" t="n">
        <v>0</v>
      </c>
      <c r="F348" s="37" t="n">
        <v>74837</v>
      </c>
      <c r="G348" s="68" t="n"/>
      <c r="H348" s="68">
        <f>E348*G348</f>
        <v/>
      </c>
      <c r="I348" s="68">
        <f>F348*G348</f>
        <v/>
      </c>
      <c r="J348" s="68">
        <f>SUM(H348:I348)</f>
        <v/>
      </c>
      <c r="K348" s="43" t="n"/>
    </row>
    <row r="349" hidden="1" ht="43.5" customHeight="1">
      <c r="A349" s="35" t="n">
        <v>341</v>
      </c>
      <c r="B349" s="35" t="inlineStr">
        <is>
          <t>DD-BM-50-1</t>
        </is>
      </c>
      <c r="C349" s="36" t="inlineStr">
        <is>
          <t>Pengadaan dan pemasangan pipa galvanis dengan ukuran diameter 50 mm dan ketebalan 2,7 mm cara boring manual /mesin 1 pipa dengan kedalaman minimal 150 cm</t>
        </is>
      </c>
      <c r="D349" s="35" t="inlineStr">
        <is>
          <t>meter</t>
        </is>
      </c>
      <c r="E349" s="37" t="n">
        <v>198538</v>
      </c>
      <c r="F349" s="37" t="n">
        <v>37385</v>
      </c>
      <c r="G349" s="68" t="n"/>
      <c r="H349" s="68">
        <f>E349*G349</f>
        <v/>
      </c>
      <c r="I349" s="68">
        <f>F349*G349</f>
        <v/>
      </c>
      <c r="J349" s="68">
        <f>SUM(H349:I349)</f>
        <v/>
      </c>
      <c r="K349" s="43" t="n"/>
    </row>
    <row r="350" hidden="1" ht="43.5" customHeight="1">
      <c r="A350" s="35" t="n">
        <v>342</v>
      </c>
      <c r="B350" s="40" t="inlineStr">
        <is>
          <t>M-DD-BM-50-1</t>
        </is>
      </c>
      <c r="C350" s="36" t="inlineStr">
        <is>
          <t>Pengadaan dan pemasangan pipa galvanis dengan ukuran diameter 50 mm dan ketebalan 2,7 mm cara boring manual /mesin 1 pipa dengan kedalaman minimal 150 cm</t>
        </is>
      </c>
      <c r="D350" s="35" t="inlineStr">
        <is>
          <t>meter</t>
        </is>
      </c>
      <c r="E350" s="37" t="n">
        <v>198538</v>
      </c>
      <c r="F350" s="42" t="n">
        <v>0</v>
      </c>
      <c r="G350" s="68" t="n"/>
      <c r="H350" s="68">
        <f>E350*G350</f>
        <v/>
      </c>
      <c r="I350" s="68">
        <f>F350*G350</f>
        <v/>
      </c>
      <c r="J350" s="68">
        <f>SUM(H350:I350)</f>
        <v/>
      </c>
      <c r="K350" s="43" t="n"/>
    </row>
    <row r="351" hidden="1" ht="43.5" customHeight="1">
      <c r="A351" s="35" t="n">
        <v>343</v>
      </c>
      <c r="B351" s="40" t="inlineStr">
        <is>
          <t>J-DD-BM-50-1</t>
        </is>
      </c>
      <c r="C351" s="36" t="inlineStr">
        <is>
          <t>Pengadaan dan pemasangan pipa galvanis dengan ukuran diameter 50 mm dan ketebalan 2,7 mm cara boring manual /mesin 1 pipa dengan kedalaman minimal 150 cm</t>
        </is>
      </c>
      <c r="D351" s="35" t="inlineStr">
        <is>
          <t>meter</t>
        </is>
      </c>
      <c r="E351" s="42" t="n">
        <v>0</v>
      </c>
      <c r="F351" s="37" t="n">
        <v>37385</v>
      </c>
      <c r="G351" s="68" t="n"/>
      <c r="H351" s="68">
        <f>E351*G351</f>
        <v/>
      </c>
      <c r="I351" s="68">
        <f>F351*G351</f>
        <v/>
      </c>
      <c r="J351" s="68">
        <f>SUM(H351:I351)</f>
        <v/>
      </c>
      <c r="K351" s="43" t="n"/>
    </row>
    <row r="352" hidden="1" ht="43.5" customHeight="1">
      <c r="A352" s="35" t="n">
        <v>344</v>
      </c>
      <c r="B352" s="35" t="inlineStr">
        <is>
          <t>DD-BM-50-2</t>
        </is>
      </c>
      <c r="C352" s="36" t="inlineStr">
        <is>
          <t>Pengadaan dan pemasangan pipa galvanis dengan ukuran diameter 50 mm dan ketebalan 2,7 mm cara boring manual /mesin 2 pipa dengan kedalaman minimal 150 cm</t>
        </is>
      </c>
      <c r="D352" s="35" t="inlineStr">
        <is>
          <t>meter</t>
        </is>
      </c>
      <c r="E352" s="37" t="n">
        <v>394500</v>
      </c>
      <c r="F352" s="37" t="n">
        <v>37385</v>
      </c>
      <c r="G352" s="68" t="n"/>
      <c r="H352" s="68">
        <f>E352*G352</f>
        <v/>
      </c>
      <c r="I352" s="68">
        <f>F352*G352</f>
        <v/>
      </c>
      <c r="J352" s="68">
        <f>SUM(H352:I352)</f>
        <v/>
      </c>
      <c r="K352" s="43" t="n"/>
    </row>
    <row r="353" hidden="1" ht="43.5" customHeight="1">
      <c r="A353" s="35" t="n">
        <v>345</v>
      </c>
      <c r="B353" s="40" t="inlineStr">
        <is>
          <t>M-DD-BM-50-2</t>
        </is>
      </c>
      <c r="C353" s="36" t="inlineStr">
        <is>
          <t>Pengadaan dan pemasangan pipa galvanis dengan ukuran diameter 50 mm dan ketebalan 2,7 mm cara boring manual /mesin 2 pipa dengan kedalaman minimal 150 cm</t>
        </is>
      </c>
      <c r="D353" s="35" t="inlineStr">
        <is>
          <t>meter</t>
        </is>
      </c>
      <c r="E353" s="37" t="n">
        <v>394500</v>
      </c>
      <c r="F353" s="42" t="n">
        <v>0</v>
      </c>
      <c r="G353" s="68" t="n"/>
      <c r="H353" s="68">
        <f>E353*G353</f>
        <v/>
      </c>
      <c r="I353" s="68">
        <f>F353*G353</f>
        <v/>
      </c>
      <c r="J353" s="68">
        <f>SUM(H353:I353)</f>
        <v/>
      </c>
      <c r="K353" s="43" t="n"/>
    </row>
    <row r="354" hidden="1" ht="43.5" customHeight="1">
      <c r="A354" s="35" t="n">
        <v>346</v>
      </c>
      <c r="B354" s="40" t="inlineStr">
        <is>
          <t>J-DD-BM-50-2</t>
        </is>
      </c>
      <c r="C354" s="36" t="inlineStr">
        <is>
          <t>Pengadaan dan pemasangan pipa galvanis dengan ukuran diameter 50 mm dan ketebalan 2,7 mm cara boring manual /mesin 2 pipa dengan kedalaman minimal 150 cm</t>
        </is>
      </c>
      <c r="D354" s="35" t="inlineStr">
        <is>
          <t>meter</t>
        </is>
      </c>
      <c r="E354" s="42" t="n">
        <v>0</v>
      </c>
      <c r="F354" s="37" t="n">
        <v>37385</v>
      </c>
      <c r="G354" s="68" t="n"/>
      <c r="H354" s="68">
        <f>E354*G354</f>
        <v/>
      </c>
      <c r="I354" s="68">
        <f>F354*G354</f>
        <v/>
      </c>
      <c r="J354" s="68">
        <f>SUM(H354:I354)</f>
        <v/>
      </c>
      <c r="K354" s="43" t="n"/>
    </row>
    <row r="355" hidden="1" ht="29" customHeight="1">
      <c r="A355" s="35" t="n">
        <v>347</v>
      </c>
      <c r="B355" s="35" t="inlineStr">
        <is>
          <t>DD-BM-HDPE-40-1</t>
        </is>
      </c>
      <c r="C355" s="36" t="inlineStr">
        <is>
          <t>Pekerjaan boring manual (rojok) hdpe 40/33 mm 1 pipa dengan kedalaman 1,5 meter</t>
        </is>
      </c>
      <c r="D355" s="35" t="inlineStr">
        <is>
          <t>meter</t>
        </is>
      </c>
      <c r="E355" s="37" t="n">
        <v>0</v>
      </c>
      <c r="F355" s="37" t="n">
        <v>34194</v>
      </c>
      <c r="G355" s="68" t="n"/>
      <c r="H355" s="68">
        <f>E355*G355</f>
        <v/>
      </c>
      <c r="I355" s="68">
        <f>F355*G355</f>
        <v/>
      </c>
      <c r="J355" s="68">
        <f>SUM(H355:I355)</f>
        <v/>
      </c>
      <c r="K355" s="43" t="n"/>
    </row>
    <row r="356" hidden="1" ht="29" customHeight="1">
      <c r="A356" s="35" t="n">
        <v>348</v>
      </c>
      <c r="B356" s="40" t="inlineStr">
        <is>
          <t>J-DD-BM-HDPE-40-1</t>
        </is>
      </c>
      <c r="C356" s="36" t="inlineStr">
        <is>
          <t>Pekerjaan boring manual (rojok) hdpe 40/33 mm 1 pipa dengan kedalaman 1,5 meter</t>
        </is>
      </c>
      <c r="D356" s="35" t="inlineStr">
        <is>
          <t>meter</t>
        </is>
      </c>
      <c r="E356" s="42" t="n">
        <v>0</v>
      </c>
      <c r="F356" s="37" t="n">
        <v>34194</v>
      </c>
      <c r="G356" s="68" t="n"/>
      <c r="H356" s="68">
        <f>E356*G356</f>
        <v/>
      </c>
      <c r="I356" s="68">
        <f>F356*G356</f>
        <v/>
      </c>
      <c r="J356" s="68">
        <f>SUM(H356:I356)</f>
        <v/>
      </c>
      <c r="K356" s="43" t="n"/>
    </row>
    <row r="357" hidden="1" ht="29" customHeight="1">
      <c r="A357" s="35" t="n">
        <v>349</v>
      </c>
      <c r="B357" s="35" t="inlineStr">
        <is>
          <t>DD-BM-HDPE-50-1</t>
        </is>
      </c>
      <c r="C357" s="36" t="inlineStr">
        <is>
          <t>Pekerjaan boring manual (rojok) hdpe 50/42 mm 1 pipa dengan kedalaman 1,5 meter</t>
        </is>
      </c>
      <c r="D357" s="35" t="inlineStr">
        <is>
          <t>meter</t>
        </is>
      </c>
      <c r="E357" s="37" t="n">
        <v>0</v>
      </c>
      <c r="F357" s="37" t="n">
        <v>37312</v>
      </c>
      <c r="G357" s="68" t="n"/>
      <c r="H357" s="68">
        <f>E357*G357</f>
        <v/>
      </c>
      <c r="I357" s="68">
        <f>F357*G357</f>
        <v/>
      </c>
      <c r="J357" s="68">
        <f>SUM(H357:I357)</f>
        <v/>
      </c>
      <c r="K357" s="43" t="n"/>
    </row>
    <row r="358" hidden="1" ht="29" customHeight="1">
      <c r="A358" s="35" t="n">
        <v>350</v>
      </c>
      <c r="B358" s="40" t="inlineStr">
        <is>
          <t>J-DD-BM-HDPE-50-1</t>
        </is>
      </c>
      <c r="C358" s="36" t="inlineStr">
        <is>
          <t>Pekerjaan boring manual (rojok) hdpe 50/42 mm 1 pipa dengan kedalaman 1,5 meter</t>
        </is>
      </c>
      <c r="D358" s="35" t="inlineStr">
        <is>
          <t>meter</t>
        </is>
      </c>
      <c r="E358" s="42" t="n">
        <v>0</v>
      </c>
      <c r="F358" s="37" t="n">
        <v>37312</v>
      </c>
      <c r="G358" s="68" t="n"/>
      <c r="H358" s="68">
        <f>E358*G358</f>
        <v/>
      </c>
      <c r="I358" s="68">
        <f>F358*G358</f>
        <v/>
      </c>
      <c r="J358" s="68">
        <f>SUM(H358:I358)</f>
        <v/>
      </c>
      <c r="K358" s="43" t="n"/>
    </row>
    <row r="359" hidden="1" ht="29" customHeight="1">
      <c r="A359" s="35" t="n">
        <v>351</v>
      </c>
      <c r="B359" s="35" t="inlineStr">
        <is>
          <t>DD-HDPE-40-1</t>
        </is>
      </c>
      <c r="C359" s="36" t="inlineStr">
        <is>
          <t>Pengadaan dan pemasangan pipa hdpe 40/33 mm 1 pipa dengan kedalaman 1,5 meter</t>
        </is>
      </c>
      <c r="D359" s="35" t="inlineStr">
        <is>
          <t>meter</t>
        </is>
      </c>
      <c r="E359" s="37" t="n">
        <v>10413</v>
      </c>
      <c r="F359" s="37" t="n">
        <v>1400</v>
      </c>
      <c r="G359" s="68" t="n"/>
      <c r="H359" s="68">
        <f>E359*G359</f>
        <v/>
      </c>
      <c r="I359" s="68">
        <f>F359*G359</f>
        <v/>
      </c>
      <c r="J359" s="68">
        <f>SUM(H359:I359)</f>
        <v/>
      </c>
      <c r="K359" s="43" t="n"/>
    </row>
    <row r="360" hidden="1" ht="29" customHeight="1">
      <c r="A360" s="35" t="n">
        <v>352</v>
      </c>
      <c r="B360" s="40" t="inlineStr">
        <is>
          <t>M-DD-HDPE-40-1</t>
        </is>
      </c>
      <c r="C360" s="36" t="inlineStr">
        <is>
          <t>Pengadaan dan pemasangan pipa hdpe 40/33 mm 1 pipa dengan kedalaman 1,5 meter</t>
        </is>
      </c>
      <c r="D360" s="35" t="inlineStr">
        <is>
          <t>meter</t>
        </is>
      </c>
      <c r="E360" s="37" t="n">
        <v>10413</v>
      </c>
      <c r="F360" s="42" t="n">
        <v>0</v>
      </c>
      <c r="G360" s="68" t="n"/>
      <c r="H360" s="68">
        <f>E360*G360</f>
        <v/>
      </c>
      <c r="I360" s="68">
        <f>F360*G360</f>
        <v/>
      </c>
      <c r="J360" s="68">
        <f>SUM(H360:I360)</f>
        <v/>
      </c>
      <c r="K360" s="43" t="n"/>
    </row>
    <row r="361" hidden="1" ht="29" customHeight="1">
      <c r="A361" s="35" t="n">
        <v>353</v>
      </c>
      <c r="B361" s="40" t="inlineStr">
        <is>
          <t>J-DD-HDPE-40-1</t>
        </is>
      </c>
      <c r="C361" s="36" t="inlineStr">
        <is>
          <t>Pengadaan dan pemasangan pipa hdpe 40/33 mm 1 pipa dengan kedalaman 1,5 meter</t>
        </is>
      </c>
      <c r="D361" s="35" t="inlineStr">
        <is>
          <t>meter</t>
        </is>
      </c>
      <c r="E361" s="42" t="n">
        <v>0</v>
      </c>
      <c r="F361" s="37" t="n">
        <v>1400</v>
      </c>
      <c r="G361" s="68" t="n"/>
      <c r="H361" s="68">
        <f>E361*G361</f>
        <v/>
      </c>
      <c r="I361" s="68">
        <f>F361*G361</f>
        <v/>
      </c>
      <c r="J361" s="68">
        <f>SUM(H361:I361)</f>
        <v/>
      </c>
      <c r="K361" s="43" t="n"/>
    </row>
    <row r="362" hidden="1" ht="29" customHeight="1">
      <c r="A362" s="35" t="n">
        <v>354</v>
      </c>
      <c r="B362" s="35" t="inlineStr">
        <is>
          <t>DD-HDPE-40-2</t>
        </is>
      </c>
      <c r="C362" s="36" t="inlineStr">
        <is>
          <t>Pengadaan dan pemasangan pipa hdpe 40/33 mm 2 pipa dengan kedalaman 1,5 meter</t>
        </is>
      </c>
      <c r="D362" s="35" t="inlineStr">
        <is>
          <t>meter</t>
        </is>
      </c>
      <c r="E362" s="37" t="n">
        <v>26440</v>
      </c>
      <c r="F362" s="37" t="n">
        <v>1892</v>
      </c>
      <c r="G362" s="68" t="n"/>
      <c r="H362" s="68">
        <f>E362*G362</f>
        <v/>
      </c>
      <c r="I362" s="68">
        <f>F362*G362</f>
        <v/>
      </c>
      <c r="J362" s="68">
        <f>SUM(H362:I362)</f>
        <v/>
      </c>
      <c r="K362" s="43" t="n"/>
    </row>
    <row r="363" hidden="1" ht="29" customHeight="1">
      <c r="A363" s="35" t="n">
        <v>355</v>
      </c>
      <c r="B363" s="40" t="inlineStr">
        <is>
          <t>M-DD-HDPE-40-2</t>
        </is>
      </c>
      <c r="C363" s="36" t="inlineStr">
        <is>
          <t>Pengadaan dan pemasangan pipa hdpe 40/33 mm 2 pipa dengan kedalaman 1,5 meter</t>
        </is>
      </c>
      <c r="D363" s="35" t="inlineStr">
        <is>
          <t>meter</t>
        </is>
      </c>
      <c r="E363" s="37" t="n">
        <v>26440</v>
      </c>
      <c r="F363" s="42" t="n">
        <v>0</v>
      </c>
      <c r="G363" s="68" t="n"/>
      <c r="H363" s="68">
        <f>E363*G363</f>
        <v/>
      </c>
      <c r="I363" s="68">
        <f>F363*G363</f>
        <v/>
      </c>
      <c r="J363" s="68">
        <f>SUM(H363:I363)</f>
        <v/>
      </c>
      <c r="K363" s="43" t="n"/>
    </row>
    <row r="364" hidden="1" ht="29" customHeight="1">
      <c r="A364" s="35" t="n">
        <v>356</v>
      </c>
      <c r="B364" s="40" t="inlineStr">
        <is>
          <t>J-DD-HDPE-40-2</t>
        </is>
      </c>
      <c r="C364" s="36" t="inlineStr">
        <is>
          <t>Pengadaan dan pemasangan pipa hdpe 40/33 mm 2 pipa dengan kedalaman 1,5 meter</t>
        </is>
      </c>
      <c r="D364" s="35" t="inlineStr">
        <is>
          <t>meter</t>
        </is>
      </c>
      <c r="E364" s="42" t="n">
        <v>0</v>
      </c>
      <c r="F364" s="37" t="n">
        <v>1892</v>
      </c>
      <c r="G364" s="68" t="n"/>
      <c r="H364" s="68">
        <f>E364*G364</f>
        <v/>
      </c>
      <c r="I364" s="68">
        <f>F364*G364</f>
        <v/>
      </c>
      <c r="J364" s="68">
        <f>SUM(H364:I364)</f>
        <v/>
      </c>
      <c r="K364" s="43" t="n"/>
    </row>
    <row r="365" hidden="1" ht="29" customHeight="1">
      <c r="A365" s="35" t="n">
        <v>357</v>
      </c>
      <c r="B365" s="35" t="inlineStr">
        <is>
          <t>DD-HDPE-50-1</t>
        </is>
      </c>
      <c r="C365" s="36" t="inlineStr">
        <is>
          <t>Pengadaan dan pemasangan pipa hdpe 50/42 mm 1 pipa dengan kedalaman 1,5 meter</t>
        </is>
      </c>
      <c r="D365" s="35" t="inlineStr">
        <is>
          <t>meter</t>
        </is>
      </c>
      <c r="E365" s="37" t="n">
        <v>20573</v>
      </c>
      <c r="F365" s="37" t="n">
        <v>1564</v>
      </c>
      <c r="G365" s="68" t="n"/>
      <c r="H365" s="68">
        <f>E365*G365</f>
        <v/>
      </c>
      <c r="I365" s="68">
        <f>F365*G365</f>
        <v/>
      </c>
      <c r="J365" s="68">
        <f>SUM(H365:I365)</f>
        <v/>
      </c>
      <c r="K365" s="43" t="n"/>
    </row>
    <row r="366" hidden="1" ht="29" customHeight="1">
      <c r="A366" s="35" t="n">
        <v>358</v>
      </c>
      <c r="B366" s="40" t="inlineStr">
        <is>
          <t>M-DD-HDPE-50-1</t>
        </is>
      </c>
      <c r="C366" s="36" t="inlineStr">
        <is>
          <t>Pengadaan dan pemasangan pipa hdpe 50/42 mm 1 pipa dengan kedalaman 1,5 meter</t>
        </is>
      </c>
      <c r="D366" s="35" t="inlineStr">
        <is>
          <t>meter</t>
        </is>
      </c>
      <c r="E366" s="37" t="n">
        <v>20573</v>
      </c>
      <c r="F366" s="42" t="n">
        <v>0</v>
      </c>
      <c r="G366" s="68" t="n"/>
      <c r="H366" s="68">
        <f>E366*G366</f>
        <v/>
      </c>
      <c r="I366" s="68">
        <f>F366*G366</f>
        <v/>
      </c>
      <c r="J366" s="68">
        <f>SUM(H366:I366)</f>
        <v/>
      </c>
      <c r="K366" s="43" t="n"/>
    </row>
    <row r="367" hidden="1" ht="29" customHeight="1">
      <c r="A367" s="35" t="n">
        <v>359</v>
      </c>
      <c r="B367" s="40" t="inlineStr">
        <is>
          <t>J-DD-HDPE-50-1</t>
        </is>
      </c>
      <c r="C367" s="36" t="inlineStr">
        <is>
          <t>Pengadaan dan pemasangan pipa hdpe 50/42 mm 1 pipa dengan kedalaman 1,5 meter</t>
        </is>
      </c>
      <c r="D367" s="35" t="inlineStr">
        <is>
          <t>meter</t>
        </is>
      </c>
      <c r="E367" s="42" t="n">
        <v>0</v>
      </c>
      <c r="F367" s="37" t="n">
        <v>1564</v>
      </c>
      <c r="G367" s="68" t="n"/>
      <c r="H367" s="68">
        <f>E367*G367</f>
        <v/>
      </c>
      <c r="I367" s="68">
        <f>F367*G367</f>
        <v/>
      </c>
      <c r="J367" s="68">
        <f>SUM(H367:I367)</f>
        <v/>
      </c>
      <c r="K367" s="43" t="n"/>
    </row>
    <row r="368" hidden="1" ht="29" customHeight="1">
      <c r="A368" s="35" t="n">
        <v>360</v>
      </c>
      <c r="B368" s="35" t="inlineStr">
        <is>
          <t>DD-HDPE-50-2</t>
        </is>
      </c>
      <c r="C368" s="36" t="inlineStr">
        <is>
          <t>Pengadaan dan pemasangan pipa hdpe 50/42 mm 2 pipa dengan kedalaman 1,5 meter</t>
        </is>
      </c>
      <c r="D368" s="35" t="inlineStr">
        <is>
          <t>meter</t>
        </is>
      </c>
      <c r="E368" s="37" t="n">
        <v>44926</v>
      </c>
      <c r="F368" s="37" t="n">
        <v>1892</v>
      </c>
      <c r="G368" s="68" t="n"/>
      <c r="H368" s="68">
        <f>E368*G368</f>
        <v/>
      </c>
      <c r="I368" s="68">
        <f>F368*G368</f>
        <v/>
      </c>
      <c r="J368" s="68">
        <f>SUM(H368:I368)</f>
        <v/>
      </c>
      <c r="K368" s="43" t="n"/>
    </row>
    <row r="369" hidden="1" ht="29" customHeight="1">
      <c r="A369" s="35" t="n">
        <v>361</v>
      </c>
      <c r="B369" s="40" t="inlineStr">
        <is>
          <t>M-DD-HDPE-50-2</t>
        </is>
      </c>
      <c r="C369" s="36" t="inlineStr">
        <is>
          <t>Pengadaan dan pemasangan pipa hdpe 50/42 mm 2 pipa dengan kedalaman 1,5 meter</t>
        </is>
      </c>
      <c r="D369" s="35" t="inlineStr">
        <is>
          <t>meter</t>
        </is>
      </c>
      <c r="E369" s="37" t="n">
        <v>44926</v>
      </c>
      <c r="F369" s="42" t="n">
        <v>0</v>
      </c>
      <c r="G369" s="68" t="n"/>
      <c r="H369" s="68">
        <f>E369*G369</f>
        <v/>
      </c>
      <c r="I369" s="68">
        <f>F369*G369</f>
        <v/>
      </c>
      <c r="J369" s="68">
        <f>SUM(H369:I369)</f>
        <v/>
      </c>
      <c r="K369" s="43" t="n"/>
    </row>
    <row r="370" hidden="1" ht="29" customHeight="1">
      <c r="A370" s="35" t="n">
        <v>362</v>
      </c>
      <c r="B370" s="40" t="inlineStr">
        <is>
          <t>J-DD-HDPE-50-2</t>
        </is>
      </c>
      <c r="C370" s="36" t="inlineStr">
        <is>
          <t>Pengadaan dan pemasangan pipa hdpe 50/42 mm 2 pipa dengan kedalaman 1,5 meter</t>
        </is>
      </c>
      <c r="D370" s="35" t="inlineStr">
        <is>
          <t>meter</t>
        </is>
      </c>
      <c r="E370" s="42" t="n">
        <v>0</v>
      </c>
      <c r="F370" s="37" t="n">
        <v>1892</v>
      </c>
      <c r="G370" s="68" t="n"/>
      <c r="H370" s="68">
        <f>E370*G370</f>
        <v/>
      </c>
      <c r="I370" s="68">
        <f>F370*G370</f>
        <v/>
      </c>
      <c r="J370" s="68">
        <f>SUM(H370:I370)</f>
        <v/>
      </c>
      <c r="K370" s="43" t="n"/>
    </row>
    <row r="371" hidden="1" ht="43.5" customHeight="1">
      <c r="A371" s="35" t="n">
        <v>363</v>
      </c>
      <c r="B371" s="35" t="inlineStr">
        <is>
          <t>DD-HDPE-40-1C</t>
        </is>
      </c>
      <c r="C371" s="36" t="inlineStr">
        <is>
          <t>Pengadaan dan pemasangan pipa hdpe 40/33 mm 1 pipa dengan kedalaman 1,5 meter sudah termasuk connector hdpe tipe compression fitting</t>
        </is>
      </c>
      <c r="D371" s="35" t="inlineStr">
        <is>
          <t>meter</t>
        </is>
      </c>
      <c r="E371" s="37" t="n">
        <v>13756</v>
      </c>
      <c r="F371" s="37" t="n">
        <v>1564</v>
      </c>
      <c r="G371" s="68" t="n"/>
      <c r="H371" s="68">
        <f>E371*G371</f>
        <v/>
      </c>
      <c r="I371" s="68">
        <f>F371*G371</f>
        <v/>
      </c>
      <c r="J371" s="68">
        <f>SUM(H371:I371)</f>
        <v/>
      </c>
      <c r="K371" s="43" t="n"/>
    </row>
    <row r="372" hidden="1" ht="43.5" customHeight="1">
      <c r="A372" s="35" t="n">
        <v>364</v>
      </c>
      <c r="B372" s="40" t="inlineStr">
        <is>
          <t>M-DD-HDPE-40-1C</t>
        </is>
      </c>
      <c r="C372" s="36" t="inlineStr">
        <is>
          <t>Pengadaan dan pemasangan pipa hdpe 40/33 mm 1 pipa dengan kedalaman 1,5 meter sudah termasuk connector hdpe tipe compression fitting</t>
        </is>
      </c>
      <c r="D372" s="35" t="inlineStr">
        <is>
          <t>meter</t>
        </is>
      </c>
      <c r="E372" s="37" t="n">
        <v>13756</v>
      </c>
      <c r="F372" s="42" t="n">
        <v>0</v>
      </c>
      <c r="G372" s="68" t="n"/>
      <c r="H372" s="68">
        <f>E372*G372</f>
        <v/>
      </c>
      <c r="I372" s="68">
        <f>F372*G372</f>
        <v/>
      </c>
      <c r="J372" s="68">
        <f>SUM(H372:I372)</f>
        <v/>
      </c>
      <c r="K372" s="43" t="n"/>
    </row>
    <row r="373" hidden="1" ht="43.5" customHeight="1">
      <c r="A373" s="35" t="n">
        <v>365</v>
      </c>
      <c r="B373" s="40" t="inlineStr">
        <is>
          <t>J-DD-HDPE-40-1C</t>
        </is>
      </c>
      <c r="C373" s="36" t="inlineStr">
        <is>
          <t>Pengadaan dan pemasangan pipa hdpe 40/33 mm 1 pipa dengan kedalaman 1,5 meter sudah termasuk connector hdpe tipe compression fitting</t>
        </is>
      </c>
      <c r="D373" s="35" t="inlineStr">
        <is>
          <t>meter</t>
        </is>
      </c>
      <c r="E373" s="42" t="n">
        <v>0</v>
      </c>
      <c r="F373" s="37" t="n">
        <v>1564</v>
      </c>
      <c r="G373" s="68" t="n"/>
      <c r="H373" s="68">
        <f>E373*G373</f>
        <v/>
      </c>
      <c r="I373" s="68">
        <f>F373*G373</f>
        <v/>
      </c>
      <c r="J373" s="68">
        <f>SUM(H373:I373)</f>
        <v/>
      </c>
      <c r="K373" s="43" t="n"/>
    </row>
    <row r="374" hidden="1" ht="43.5" customHeight="1">
      <c r="A374" s="35" t="n">
        <v>366</v>
      </c>
      <c r="B374" s="35" t="inlineStr">
        <is>
          <t>DD-HDPE-40-2C</t>
        </is>
      </c>
      <c r="C374" s="36" t="inlineStr">
        <is>
          <t>Pengadaan dan pemasangan pipa hdpe 40/33 mm 2 pipa dengan kedalaman 1,5 meter sudah termasuk connector hdpe tipe compression fitting</t>
        </is>
      </c>
      <c r="D374" s="35" t="inlineStr">
        <is>
          <t>meter</t>
        </is>
      </c>
      <c r="E374" s="37" t="n">
        <v>27322</v>
      </c>
      <c r="F374" s="37" t="n">
        <v>1892</v>
      </c>
      <c r="G374" s="68" t="n"/>
      <c r="H374" s="68">
        <f>E374*G374</f>
        <v/>
      </c>
      <c r="I374" s="68">
        <f>F374*G374</f>
        <v/>
      </c>
      <c r="J374" s="68">
        <f>SUM(H374:I374)</f>
        <v/>
      </c>
      <c r="K374" s="43" t="n"/>
    </row>
    <row r="375" hidden="1" ht="43.5" customHeight="1">
      <c r="A375" s="35" t="n">
        <v>367</v>
      </c>
      <c r="B375" s="40" t="inlineStr">
        <is>
          <t>M-DD-HDPE-40-2C</t>
        </is>
      </c>
      <c r="C375" s="36" t="inlineStr">
        <is>
          <t>Pengadaan dan pemasangan pipa hdpe 40/33 mm 2 pipa dengan kedalaman 1,5 meter sudah termasuk connector hdpe tipe compression fitting</t>
        </is>
      </c>
      <c r="D375" s="35" t="inlineStr">
        <is>
          <t>meter</t>
        </is>
      </c>
      <c r="E375" s="37" t="n">
        <v>27322</v>
      </c>
      <c r="F375" s="42" t="n">
        <v>0</v>
      </c>
      <c r="G375" s="68" t="n"/>
      <c r="H375" s="68">
        <f>E375*G375</f>
        <v/>
      </c>
      <c r="I375" s="68">
        <f>F375*G375</f>
        <v/>
      </c>
      <c r="J375" s="68">
        <f>SUM(H375:I375)</f>
        <v/>
      </c>
      <c r="K375" s="43" t="n"/>
    </row>
    <row r="376" hidden="1" ht="43.5" customHeight="1">
      <c r="A376" s="35" t="n">
        <v>368</v>
      </c>
      <c r="B376" s="40" t="inlineStr">
        <is>
          <t>J-DD-HDPE-40-2C</t>
        </is>
      </c>
      <c r="C376" s="36" t="inlineStr">
        <is>
          <t>Pengadaan dan pemasangan pipa hdpe 40/33 mm 2 pipa dengan kedalaman 1,5 meter sudah termasuk connector hdpe tipe compression fitting</t>
        </is>
      </c>
      <c r="D376" s="35" t="inlineStr">
        <is>
          <t>meter</t>
        </is>
      </c>
      <c r="E376" s="42" t="n">
        <v>0</v>
      </c>
      <c r="F376" s="37" t="n">
        <v>1892</v>
      </c>
      <c r="G376" s="68" t="n"/>
      <c r="H376" s="68">
        <f>E376*G376</f>
        <v/>
      </c>
      <c r="I376" s="68">
        <f>F376*G376</f>
        <v/>
      </c>
      <c r="J376" s="68">
        <f>SUM(H376:I376)</f>
        <v/>
      </c>
      <c r="K376" s="43" t="n"/>
    </row>
    <row r="377" hidden="1" ht="29" customHeight="1">
      <c r="A377" s="35" t="n">
        <v>369</v>
      </c>
      <c r="B377" s="35" t="inlineStr">
        <is>
          <t>DD-ROD</t>
        </is>
      </c>
      <c r="C377" s="36" t="inlineStr">
        <is>
          <t>Pekerjaan pembersihan pada route duct yang kosong / rodding duct existing.</t>
        </is>
      </c>
      <c r="D377" s="35" t="inlineStr">
        <is>
          <t>meter</t>
        </is>
      </c>
      <c r="E377" s="37" t="n">
        <v>0</v>
      </c>
      <c r="F377" s="37" t="n">
        <v>2021</v>
      </c>
      <c r="G377" s="68" t="n"/>
      <c r="H377" s="68">
        <f>E377*G377</f>
        <v/>
      </c>
      <c r="I377" s="68">
        <f>F377*G377</f>
        <v/>
      </c>
      <c r="J377" s="68">
        <f>SUM(H377:I377)</f>
        <v/>
      </c>
      <c r="K377" s="43" t="n"/>
    </row>
    <row r="378" hidden="1" ht="29" customHeight="1">
      <c r="A378" s="35" t="n">
        <v>370</v>
      </c>
      <c r="B378" s="40" t="inlineStr">
        <is>
          <t>J-DD-ROD</t>
        </is>
      </c>
      <c r="C378" s="36" t="inlineStr">
        <is>
          <t>Pekerjaan pembersihan pada route duct yang kosong / rodding duct existing.</t>
        </is>
      </c>
      <c r="D378" s="35" t="inlineStr">
        <is>
          <t>meter</t>
        </is>
      </c>
      <c r="E378" s="42" t="n">
        <v>0</v>
      </c>
      <c r="F378" s="37" t="n">
        <v>2021</v>
      </c>
      <c r="G378" s="68" t="n"/>
      <c r="H378" s="68">
        <f>E378*G378</f>
        <v/>
      </c>
      <c r="I378" s="68">
        <f>F378*G378</f>
        <v/>
      </c>
      <c r="J378" s="68">
        <f>SUM(H378:I378)</f>
        <v/>
      </c>
      <c r="K378" s="43" t="n"/>
    </row>
    <row r="379" hidden="1" ht="14.5" customHeight="1">
      <c r="A379" s="35" t="n">
        <v>371</v>
      </c>
      <c r="B379" s="35" t="inlineStr">
        <is>
          <t>DD-RV-1</t>
        </is>
      </c>
      <c r="C379" s="36" t="inlineStr">
        <is>
          <t>Pekerjaan perbaikan route duct / hdpe, 1 pipa.</t>
        </is>
      </c>
      <c r="D379" s="35" t="inlineStr">
        <is>
          <t>meter</t>
        </is>
      </c>
      <c r="E379" s="37" t="n">
        <v>39762</v>
      </c>
      <c r="F379" s="37" t="n">
        <v>80827</v>
      </c>
      <c r="G379" s="68" t="n"/>
      <c r="H379" s="68">
        <f>E379*G379</f>
        <v/>
      </c>
      <c r="I379" s="68">
        <f>F379*G379</f>
        <v/>
      </c>
      <c r="J379" s="68">
        <f>SUM(H379:I379)</f>
        <v/>
      </c>
      <c r="K379" s="43" t="n"/>
    </row>
    <row r="380" hidden="1" ht="14.5" customHeight="1">
      <c r="A380" s="35" t="n">
        <v>372</v>
      </c>
      <c r="B380" s="40" t="inlineStr">
        <is>
          <t>M-DD-RV-1</t>
        </is>
      </c>
      <c r="C380" s="36" t="inlineStr">
        <is>
          <t>Pekerjaan perbaikan route duct / hdpe, 1 pipa.</t>
        </is>
      </c>
      <c r="D380" s="35" t="inlineStr">
        <is>
          <t>meter</t>
        </is>
      </c>
      <c r="E380" s="37" t="n">
        <v>39762</v>
      </c>
      <c r="F380" s="42" t="n">
        <v>0</v>
      </c>
      <c r="G380" s="68" t="n"/>
      <c r="H380" s="68">
        <f>E380*G380</f>
        <v/>
      </c>
      <c r="I380" s="68">
        <f>F380*G380</f>
        <v/>
      </c>
      <c r="J380" s="68">
        <f>SUM(H380:I380)</f>
        <v/>
      </c>
      <c r="K380" s="43" t="n"/>
    </row>
    <row r="381" hidden="1" ht="14.5" customHeight="1">
      <c r="A381" s="35" t="n">
        <v>373</v>
      </c>
      <c r="B381" s="40" t="inlineStr">
        <is>
          <t>J-DD-RV-1</t>
        </is>
      </c>
      <c r="C381" s="36" t="inlineStr">
        <is>
          <t>Pekerjaan perbaikan route duct / hdpe, 1 pipa.</t>
        </is>
      </c>
      <c r="D381" s="35" t="inlineStr">
        <is>
          <t>meter</t>
        </is>
      </c>
      <c r="E381" s="42" t="n">
        <v>0</v>
      </c>
      <c r="F381" s="37" t="n">
        <v>80827</v>
      </c>
      <c r="G381" s="68" t="n"/>
      <c r="H381" s="68">
        <f>E381*G381</f>
        <v/>
      </c>
      <c r="I381" s="68">
        <f>F381*G381</f>
        <v/>
      </c>
      <c r="J381" s="68">
        <f>SUM(H381:I381)</f>
        <v/>
      </c>
      <c r="K381" s="43" t="n"/>
    </row>
    <row r="382" hidden="1" ht="14.5" customHeight="1">
      <c r="A382" s="35" t="n">
        <v>374</v>
      </c>
      <c r="B382" s="35" t="inlineStr">
        <is>
          <t>DD-RV-CONCRETE</t>
        </is>
      </c>
      <c r="C382" s="36" t="inlineStr">
        <is>
          <t>Pekerjaan bobok dinding mh / hh termasuk perbaikan kembali</t>
        </is>
      </c>
      <c r="D382" s="35" t="inlineStr">
        <is>
          <t>m3</t>
        </is>
      </c>
      <c r="E382" s="37" t="n">
        <v>1165313</v>
      </c>
      <c r="F382" s="37" t="n">
        <v>727443</v>
      </c>
      <c r="G382" s="68" t="n"/>
      <c r="H382" s="68">
        <f>E382*G382</f>
        <v/>
      </c>
      <c r="I382" s="68">
        <f>F382*G382</f>
        <v/>
      </c>
      <c r="J382" s="68">
        <f>SUM(H382:I382)</f>
        <v/>
      </c>
      <c r="K382" s="43" t="n"/>
    </row>
    <row r="383" hidden="1" ht="14.5" customHeight="1">
      <c r="A383" s="35" t="n">
        <v>375</v>
      </c>
      <c r="B383" s="40" t="inlineStr">
        <is>
          <t>M-DD-RV-CONCRETE</t>
        </is>
      </c>
      <c r="C383" s="36" t="inlineStr">
        <is>
          <t>Pekerjaan bobok dinding mh / hh termasuk perbaikan kembali</t>
        </is>
      </c>
      <c r="D383" s="35" t="inlineStr">
        <is>
          <t>m3</t>
        </is>
      </c>
      <c r="E383" s="37" t="n">
        <v>1165313</v>
      </c>
      <c r="F383" s="42" t="n">
        <v>0</v>
      </c>
      <c r="G383" s="68" t="n"/>
      <c r="H383" s="68">
        <f>E383*G383</f>
        <v/>
      </c>
      <c r="I383" s="68">
        <f>F383*G383</f>
        <v/>
      </c>
      <c r="J383" s="68">
        <f>SUM(H383:I383)</f>
        <v/>
      </c>
      <c r="K383" s="43" t="n"/>
    </row>
    <row r="384" hidden="1" ht="14.5" customHeight="1">
      <c r="A384" s="35" t="n">
        <v>376</v>
      </c>
      <c r="B384" s="40" t="inlineStr">
        <is>
          <t>J-DD-RV-CONCRETE</t>
        </is>
      </c>
      <c r="C384" s="36" t="inlineStr">
        <is>
          <t>Pekerjaan bobok dinding mh / hh termasuk perbaikan kembali</t>
        </is>
      </c>
      <c r="D384" s="35" t="inlineStr">
        <is>
          <t>m3</t>
        </is>
      </c>
      <c r="E384" s="42" t="n">
        <v>0</v>
      </c>
      <c r="F384" s="37" t="n">
        <v>727443</v>
      </c>
      <c r="G384" s="68" t="n"/>
      <c r="H384" s="68">
        <f>E384*G384</f>
        <v/>
      </c>
      <c r="I384" s="68">
        <f>F384*G384</f>
        <v/>
      </c>
      <c r="J384" s="68">
        <f>SUM(H384:I384)</f>
        <v/>
      </c>
      <c r="K384" s="43" t="n"/>
    </row>
    <row r="385" hidden="1" ht="43.5" customHeight="1">
      <c r="A385" s="35" t="n">
        <v>377</v>
      </c>
      <c r="B385" s="35" t="inlineStr">
        <is>
          <t>DD-DS-S1</t>
        </is>
      </c>
      <c r="C385" s="36" t="inlineStr">
        <is>
          <t>Pengadaan dan pemasangan duct baru dengan cara melakukan boring dibawah dasar parit/sungai dengan kedalaman 1,5 m dengan menggunakan pvc diamater 100 mm dan ketebalan 5,5 mm 1 pipa</t>
        </is>
      </c>
      <c r="D385" s="35" t="inlineStr">
        <is>
          <t>meter</t>
        </is>
      </c>
      <c r="E385" s="37" t="n">
        <v>282253</v>
      </c>
      <c r="F385" s="37" t="n">
        <v>169737</v>
      </c>
      <c r="G385" s="68" t="n"/>
      <c r="H385" s="68">
        <f>E385*G385</f>
        <v/>
      </c>
      <c r="I385" s="68">
        <f>F385*G385</f>
        <v/>
      </c>
      <c r="J385" s="68">
        <f>SUM(H385:I385)</f>
        <v/>
      </c>
      <c r="K385" s="43" t="n"/>
    </row>
    <row r="386" hidden="1" ht="43.5" customHeight="1">
      <c r="A386" s="35" t="n">
        <v>378</v>
      </c>
      <c r="B386" s="40" t="inlineStr">
        <is>
          <t>M-DD-DS-S1</t>
        </is>
      </c>
      <c r="C386" s="36" t="inlineStr">
        <is>
          <t>Pengadaan dan pemasangan duct baru dengan cara melakukan boring dibawah dasar parit/sungai dengan kedalaman 1,5 m dengan menggunakan pvc diamater 100 mm dan ketebalan 5,5 mm 1 pipa</t>
        </is>
      </c>
      <c r="D386" s="35" t="inlineStr">
        <is>
          <t>meter</t>
        </is>
      </c>
      <c r="E386" s="37" t="n">
        <v>282253</v>
      </c>
      <c r="F386" s="42" t="n">
        <v>0</v>
      </c>
      <c r="G386" s="68" t="n"/>
      <c r="H386" s="68">
        <f>E386*G386</f>
        <v/>
      </c>
      <c r="I386" s="68">
        <f>F386*G386</f>
        <v/>
      </c>
      <c r="J386" s="68">
        <f>SUM(H386:I386)</f>
        <v/>
      </c>
      <c r="K386" s="43" t="n"/>
    </row>
    <row r="387" hidden="1" ht="43.5" customHeight="1">
      <c r="A387" s="35" t="n">
        <v>379</v>
      </c>
      <c r="B387" s="40" t="inlineStr">
        <is>
          <t>J-DD-DS-S1</t>
        </is>
      </c>
      <c r="C387" s="36" t="inlineStr">
        <is>
          <t>Pengadaan dan pemasangan duct baru dengan cara melakukan boring dibawah dasar parit/sungai dengan kedalaman 1,5 m dengan menggunakan pvc diamater 100 mm dan ketebalan 5,5 mm 1 pipa</t>
        </is>
      </c>
      <c r="D387" s="35" t="inlineStr">
        <is>
          <t>meter</t>
        </is>
      </c>
      <c r="E387" s="42" t="n">
        <v>0</v>
      </c>
      <c r="F387" s="37" t="n">
        <v>169737</v>
      </c>
      <c r="G387" s="68" t="n"/>
      <c r="H387" s="68">
        <f>E387*G387</f>
        <v/>
      </c>
      <c r="I387" s="68">
        <f>F387*G387</f>
        <v/>
      </c>
      <c r="J387" s="68">
        <f>SUM(H387:I387)</f>
        <v/>
      </c>
      <c r="K387" s="43" t="n"/>
    </row>
    <row r="388" hidden="1" ht="43.5" customHeight="1">
      <c r="A388" s="35" t="n">
        <v>380</v>
      </c>
      <c r="B388" s="35" t="inlineStr">
        <is>
          <t>DD-DS-COD1-M</t>
        </is>
      </c>
      <c r="C388" s="36" t="inlineStr">
        <is>
          <t>Pengadaan dan pemasangan duct baru type cod, dengan mesin pengeboran (borring) dibawah parit, pada kedalaman 1,50 m di bawah dasar selokan, tanpa perlindungan pvc, 1 pipa</t>
        </is>
      </c>
      <c r="D388" s="35" t="inlineStr">
        <is>
          <t>meter</t>
        </is>
      </c>
      <c r="E388" s="37" t="n">
        <v>27170</v>
      </c>
      <c r="F388" s="37" t="n">
        <v>475966</v>
      </c>
      <c r="G388" s="68" t="n"/>
      <c r="H388" s="68">
        <f>E388*G388</f>
        <v/>
      </c>
      <c r="I388" s="68">
        <f>F388*G388</f>
        <v/>
      </c>
      <c r="J388" s="68">
        <f>SUM(H388:I388)</f>
        <v/>
      </c>
      <c r="K388" s="43" t="n"/>
    </row>
    <row r="389" hidden="1" ht="43.5" customHeight="1">
      <c r="A389" s="35" t="n">
        <v>381</v>
      </c>
      <c r="B389" s="40" t="inlineStr">
        <is>
          <t>M-DD-DS-COD1-M</t>
        </is>
      </c>
      <c r="C389" s="36" t="inlineStr">
        <is>
          <t>Pengadaan dan pemasangan duct baru type cod, dengan mesin pengeboran (borring) dibawah parit, pada kedalaman 1,50 m di bawah dasar selokan, tanpa perlindungan pvc, 1 pipa</t>
        </is>
      </c>
      <c r="D389" s="35" t="inlineStr">
        <is>
          <t>meter</t>
        </is>
      </c>
      <c r="E389" s="37" t="n">
        <v>27170</v>
      </c>
      <c r="F389" s="42" t="n">
        <v>0</v>
      </c>
      <c r="G389" s="68" t="n"/>
      <c r="H389" s="68">
        <f>E389*G389</f>
        <v/>
      </c>
      <c r="I389" s="68">
        <f>F389*G389</f>
        <v/>
      </c>
      <c r="J389" s="68">
        <f>SUM(H389:I389)</f>
        <v/>
      </c>
      <c r="K389" s="43" t="n"/>
    </row>
    <row r="390" hidden="1" ht="43.5" customHeight="1">
      <c r="A390" s="35" t="n">
        <v>382</v>
      </c>
      <c r="B390" s="40" t="inlineStr">
        <is>
          <t>J-DD-DS-COD1-M</t>
        </is>
      </c>
      <c r="C390" s="36" t="inlineStr">
        <is>
          <t>Pengadaan dan pemasangan duct baru type cod, dengan mesin pengeboran (borring) dibawah parit, pada kedalaman 1,50 m di bawah dasar selokan, tanpa perlindungan pvc, 1 pipa</t>
        </is>
      </c>
      <c r="D390" s="35" t="inlineStr">
        <is>
          <t>meter</t>
        </is>
      </c>
      <c r="E390" s="42" t="n">
        <v>0</v>
      </c>
      <c r="F390" s="37" t="n">
        <v>475966</v>
      </c>
      <c r="G390" s="68" t="n"/>
      <c r="H390" s="68">
        <f>E390*G390</f>
        <v/>
      </c>
      <c r="I390" s="68">
        <f>F390*G390</f>
        <v/>
      </c>
      <c r="J390" s="68">
        <f>SUM(H390:I390)</f>
        <v/>
      </c>
      <c r="K390" s="43" t="n"/>
    </row>
    <row r="391" hidden="1" ht="43.5" customHeight="1">
      <c r="A391" s="35" t="n">
        <v>383</v>
      </c>
      <c r="B391" s="35" t="inlineStr">
        <is>
          <t>Klem HDPE</t>
        </is>
      </c>
      <c r="C391" s="36" t="inlineStr">
        <is>
          <t>Pengkleman hdpe di dinding beton dengan klem ketebalan 2mm lebar 2,5 cm menggunakan dynabolt termasuk rekondisi atau perbaikan kerusakan</t>
        </is>
      </c>
      <c r="D391" s="35" t="inlineStr">
        <is>
          <t>pcs</t>
        </is>
      </c>
      <c r="E391" s="37" t="n">
        <v>11500</v>
      </c>
      <c r="F391" s="37" t="n">
        <v>2300</v>
      </c>
      <c r="G391" s="68" t="n"/>
      <c r="H391" s="68">
        <f>E391*G391</f>
        <v/>
      </c>
      <c r="I391" s="68">
        <f>F391*G391</f>
        <v/>
      </c>
      <c r="J391" s="68">
        <f>SUM(H391:I391)</f>
        <v/>
      </c>
      <c r="K391" s="43" t="n"/>
    </row>
    <row r="392" hidden="1" ht="43.5" customHeight="1">
      <c r="A392" s="35" t="n">
        <v>384</v>
      </c>
      <c r="B392" s="40" t="inlineStr">
        <is>
          <t>M-Klem HDPE</t>
        </is>
      </c>
      <c r="C392" s="36" t="inlineStr">
        <is>
          <t>Pengkleman hdpe di dinding beton dengan klem ketebalan 2mm lebar 2,5 cm menggunakan dynabolt termasuk rekondisi atau perbaikan kerusakan</t>
        </is>
      </c>
      <c r="D392" s="35" t="inlineStr">
        <is>
          <t>pcs</t>
        </is>
      </c>
      <c r="E392" s="37" t="n">
        <v>11500</v>
      </c>
      <c r="F392" s="42" t="n">
        <v>0</v>
      </c>
      <c r="G392" s="68" t="n"/>
      <c r="H392" s="68">
        <f>E392*G392</f>
        <v/>
      </c>
      <c r="I392" s="68">
        <f>F392*G392</f>
        <v/>
      </c>
      <c r="J392" s="68">
        <f>SUM(H392:I392)</f>
        <v/>
      </c>
      <c r="K392" s="43" t="n"/>
    </row>
    <row r="393" hidden="1" ht="43.5" customHeight="1">
      <c r="A393" s="35" t="n">
        <v>385</v>
      </c>
      <c r="B393" s="40" t="inlineStr">
        <is>
          <t>J-Klem HDPE</t>
        </is>
      </c>
      <c r="C393" s="36" t="inlineStr">
        <is>
          <t>Pengkleman hdpe di dinding beton dengan klem ketebalan 2mm lebar 2,5 cm menggunakan dynabolt termasuk rekondisi atau perbaikan kerusakan</t>
        </is>
      </c>
      <c r="D393" s="35" t="inlineStr">
        <is>
          <t>pcs</t>
        </is>
      </c>
      <c r="E393" s="42" t="n">
        <v>0</v>
      </c>
      <c r="F393" s="37" t="n">
        <v>2300</v>
      </c>
      <c r="G393" s="68" t="n"/>
      <c r="H393" s="68">
        <f>E393*G393</f>
        <v/>
      </c>
      <c r="I393" s="68">
        <f>F393*G393</f>
        <v/>
      </c>
      <c r="J393" s="68">
        <f>SUM(H393:I393)</f>
        <v/>
      </c>
      <c r="K393" s="43" t="n"/>
    </row>
    <row r="394" hidden="1" ht="43.5" customHeight="1">
      <c r="A394" s="35" t="n">
        <v>386</v>
      </c>
      <c r="B394" s="35" t="inlineStr">
        <is>
          <t>BC-TR-0.4</t>
        </is>
      </c>
      <c r="C394" s="36" t="inlineStr">
        <is>
          <t>Pekerjaan galian, pengurugan kembali dan perbaikan kembali, pengisian pasir, warning tape dan tanda rute kabel serta tempat sambung kedalaman 0.4 meter</t>
        </is>
      </c>
      <c r="D394" s="35" t="inlineStr">
        <is>
          <t>meter</t>
        </is>
      </c>
      <c r="E394" s="37" t="n">
        <v>0</v>
      </c>
      <c r="F394" s="37" t="n">
        <v>13862</v>
      </c>
      <c r="G394" s="68" t="n"/>
      <c r="H394" s="68">
        <f>E394*G394</f>
        <v/>
      </c>
      <c r="I394" s="68">
        <f>F394*G394</f>
        <v/>
      </c>
      <c r="J394" s="68">
        <f>SUM(H394:I394)</f>
        <v/>
      </c>
      <c r="K394" s="43" t="n"/>
    </row>
    <row r="395" hidden="1" ht="43.5" customHeight="1">
      <c r="A395" s="35" t="n">
        <v>387</v>
      </c>
      <c r="B395" s="40" t="inlineStr">
        <is>
          <t>J-BC-TR-0.4</t>
        </is>
      </c>
      <c r="C395" s="36" t="inlineStr">
        <is>
          <t>Pekerjaan galian, pengurugan kembali dan perbaikan kembali, pengisian pasir, warning tape dan tanda rute kabel serta tempat sambung kedalaman 0.4 meter</t>
        </is>
      </c>
      <c r="D395" s="35" t="inlineStr">
        <is>
          <t>meter</t>
        </is>
      </c>
      <c r="E395" s="42" t="n">
        <v>0</v>
      </c>
      <c r="F395" s="37" t="n">
        <v>13862</v>
      </c>
      <c r="G395" s="68" t="n"/>
      <c r="H395" s="68">
        <f>E395*G395</f>
        <v/>
      </c>
      <c r="I395" s="68">
        <f>F395*G395</f>
        <v/>
      </c>
      <c r="J395" s="68">
        <f>SUM(H395:I395)</f>
        <v/>
      </c>
      <c r="K395" s="43" t="n"/>
    </row>
    <row r="396" hidden="1" ht="43.5" customHeight="1">
      <c r="A396" s="35" t="n">
        <v>388</v>
      </c>
      <c r="B396" s="35" t="inlineStr">
        <is>
          <t>BC-TR-0.6</t>
        </is>
      </c>
      <c r="C396" s="36" t="inlineStr">
        <is>
          <t>Pekerjaan galian, pengurugan kembali dan perbaikan kembali, pengisian pasir, warning tape dan tanda rute kabel serta tempat sambung, kedalaman 0,6 meter</t>
        </is>
      </c>
      <c r="D396" s="35" t="inlineStr">
        <is>
          <t>meter</t>
        </is>
      </c>
      <c r="E396" s="37" t="n">
        <v>0</v>
      </c>
      <c r="F396" s="37" t="n">
        <v>24558</v>
      </c>
      <c r="G396" s="68" t="n"/>
      <c r="H396" s="68">
        <f>E396*G396</f>
        <v/>
      </c>
      <c r="I396" s="68">
        <f>F396*G396</f>
        <v/>
      </c>
      <c r="J396" s="68">
        <f>SUM(H396:I396)</f>
        <v/>
      </c>
      <c r="K396" s="43" t="n"/>
    </row>
    <row r="397" hidden="1" ht="43.5" customHeight="1">
      <c r="A397" s="35" t="n">
        <v>389</v>
      </c>
      <c r="B397" s="40" t="inlineStr">
        <is>
          <t>J-BC-TR-0.6</t>
        </is>
      </c>
      <c r="C397" s="36" t="inlineStr">
        <is>
          <t>Pekerjaan galian, pengurugan kembali dan perbaikan kembali, pengisian pasir, warning tape dan tanda rute kabel serta tempat sambung, kedalaman 0,6 meter</t>
        </is>
      </c>
      <c r="D397" s="35" t="inlineStr">
        <is>
          <t>meter</t>
        </is>
      </c>
      <c r="E397" s="42" t="n">
        <v>0</v>
      </c>
      <c r="F397" s="37" t="n">
        <v>24558</v>
      </c>
      <c r="G397" s="68" t="n"/>
      <c r="H397" s="68">
        <f>E397*G397</f>
        <v/>
      </c>
      <c r="I397" s="68">
        <f>F397*G397</f>
        <v/>
      </c>
      <c r="J397" s="68">
        <f>SUM(H397:I397)</f>
        <v/>
      </c>
      <c r="K397" s="43" t="n"/>
    </row>
    <row r="398" hidden="1" ht="43.5" customHeight="1">
      <c r="A398" s="35" t="n">
        <v>390</v>
      </c>
      <c r="B398" s="35" t="inlineStr">
        <is>
          <t>BC-TR-1</t>
        </is>
      </c>
      <c r="C398" s="36" t="inlineStr">
        <is>
          <t>Pekerjaan galian, pengurugan kembali dan perbaikan kembali, pengisian pasir, warning tape dan tanda rute kabel serta tempat sambung, kedalaman 1 meter</t>
        </is>
      </c>
      <c r="D398" s="35" t="inlineStr">
        <is>
          <t>meter</t>
        </is>
      </c>
      <c r="E398" s="37" t="n">
        <v>0</v>
      </c>
      <c r="F398" s="37" t="n">
        <v>33669</v>
      </c>
      <c r="G398" s="68" t="n"/>
      <c r="H398" s="68">
        <f>E398*G398</f>
        <v/>
      </c>
      <c r="I398" s="68">
        <f>F398*G398</f>
        <v/>
      </c>
      <c r="J398" s="68">
        <f>SUM(H398:I398)</f>
        <v/>
      </c>
      <c r="K398" s="43" t="n"/>
    </row>
    <row r="399" hidden="1" ht="43.5" customHeight="1">
      <c r="A399" s="35" t="n">
        <v>391</v>
      </c>
      <c r="B399" s="40" t="inlineStr">
        <is>
          <t>J-BC-TR-1</t>
        </is>
      </c>
      <c r="C399" s="36" t="inlineStr">
        <is>
          <t>Pekerjaan galian, pengurugan kembali dan perbaikan kembali, pengisian pasir, warning tape dan tanda rute kabel serta tempat sambung, kedalaman 1 meter</t>
        </is>
      </c>
      <c r="D399" s="35" t="inlineStr">
        <is>
          <t>meter</t>
        </is>
      </c>
      <c r="E399" s="42" t="n">
        <v>0</v>
      </c>
      <c r="F399" s="37" t="n">
        <v>33669</v>
      </c>
      <c r="G399" s="68" t="n"/>
      <c r="H399" s="68">
        <f>E399*G399</f>
        <v/>
      </c>
      <c r="I399" s="68">
        <f>F399*G399</f>
        <v/>
      </c>
      <c r="J399" s="68">
        <f>SUM(H399:I399)</f>
        <v/>
      </c>
      <c r="K399" s="43" t="n"/>
    </row>
    <row r="400" hidden="1" ht="43.5" customHeight="1">
      <c r="A400" s="35" t="n">
        <v>392</v>
      </c>
      <c r="B400" s="35" t="inlineStr">
        <is>
          <t>BC-TR-2</t>
        </is>
      </c>
      <c r="C400" s="36" t="inlineStr">
        <is>
          <t>Pekerjaan galian, pengurugan kembali dan perbaikan kembali, pengisian pasir, warning tape dan tanda rute kabel serta tempat sambung, kedalaman 1,2 meter</t>
        </is>
      </c>
      <c r="D400" s="35" t="inlineStr">
        <is>
          <t>meter</t>
        </is>
      </c>
      <c r="E400" s="37" t="n">
        <v>0</v>
      </c>
      <c r="F400" s="37" t="n">
        <v>38456</v>
      </c>
      <c r="G400" s="68" t="n"/>
      <c r="H400" s="68">
        <f>E400*G400</f>
        <v/>
      </c>
      <c r="I400" s="68">
        <f>F400*G400</f>
        <v/>
      </c>
      <c r="J400" s="68">
        <f>SUM(H400:I400)</f>
        <v/>
      </c>
      <c r="K400" s="43" t="n"/>
    </row>
    <row r="401" hidden="1" ht="43.5" customHeight="1">
      <c r="A401" s="35" t="n">
        <v>393</v>
      </c>
      <c r="B401" s="40" t="inlineStr">
        <is>
          <t>J-BC-TR-2</t>
        </is>
      </c>
      <c r="C401" s="36" t="inlineStr">
        <is>
          <t>Pekerjaan galian, pengurugan kembali dan perbaikan kembali, pengisian pasir, warning tape dan tanda rute kabel serta tempat sambung, kedalaman 1,2 meter</t>
        </is>
      </c>
      <c r="D401" s="35" t="inlineStr">
        <is>
          <t>meter</t>
        </is>
      </c>
      <c r="E401" s="42" t="n">
        <v>0</v>
      </c>
      <c r="F401" s="37" t="n">
        <v>38456</v>
      </c>
      <c r="G401" s="68" t="n"/>
      <c r="H401" s="68">
        <f>E401*G401</f>
        <v/>
      </c>
      <c r="I401" s="68">
        <f>F401*G401</f>
        <v/>
      </c>
      <c r="J401" s="68">
        <f>SUM(H401:I401)</f>
        <v/>
      </c>
      <c r="K401" s="43" t="n"/>
    </row>
    <row r="402" hidden="1" ht="43.5" customHeight="1">
      <c r="A402" s="35" t="n">
        <v>394</v>
      </c>
      <c r="B402" s="35" t="inlineStr">
        <is>
          <t>BC-TR-3</t>
        </is>
      </c>
      <c r="C402" s="36" t="inlineStr">
        <is>
          <t>Pekerjaan galian, pengurugan kembali dan perbaikan kembali, pengisian pasir, warning tape dan tanda rute kabel serta tempat sambung, kedalaman 1,3 meter</t>
        </is>
      </c>
      <c r="D402" s="35" t="inlineStr">
        <is>
          <t>meter</t>
        </is>
      </c>
      <c r="E402" s="37" t="n">
        <v>0</v>
      </c>
      <c r="F402" s="37" t="n">
        <v>40502</v>
      </c>
      <c r="G402" s="68" t="n"/>
      <c r="H402" s="68">
        <f>E402*G402</f>
        <v/>
      </c>
      <c r="I402" s="68">
        <f>F402*G402</f>
        <v/>
      </c>
      <c r="J402" s="68">
        <f>SUM(H402:I402)</f>
        <v/>
      </c>
      <c r="K402" s="43" t="n"/>
    </row>
    <row r="403" hidden="1" ht="43.5" customHeight="1">
      <c r="A403" s="35" t="n">
        <v>395</v>
      </c>
      <c r="B403" s="40" t="inlineStr">
        <is>
          <t>J-BC-TR-3</t>
        </is>
      </c>
      <c r="C403" s="36" t="inlineStr">
        <is>
          <t>Pekerjaan galian, pengurugan kembali dan perbaikan kembali, pengisian pasir, warning tape dan tanda rute kabel serta tempat sambung, kedalaman 1,3 meter</t>
        </is>
      </c>
      <c r="D403" s="35" t="inlineStr">
        <is>
          <t>meter</t>
        </is>
      </c>
      <c r="E403" s="42" t="n">
        <v>0</v>
      </c>
      <c r="F403" s="37" t="n">
        <v>40502</v>
      </c>
      <c r="G403" s="68" t="n"/>
      <c r="H403" s="68">
        <f>E403*G403</f>
        <v/>
      </c>
      <c r="I403" s="68">
        <f>F403*G403</f>
        <v/>
      </c>
      <c r="J403" s="68">
        <f>SUM(H403:I403)</f>
        <v/>
      </c>
      <c r="K403" s="43" t="n"/>
    </row>
    <row r="404" hidden="1" ht="43.5" customHeight="1">
      <c r="A404" s="35" t="n">
        <v>396</v>
      </c>
      <c r="B404" s="35" t="inlineStr">
        <is>
          <t>BC-TR-4</t>
        </is>
      </c>
      <c r="C404" s="36" t="inlineStr">
        <is>
          <t>Pekerjaan galian, pengurugan kembali dan perbaikan kembali, pengisian pasir, warning tape dan tanda rute kabel serta tempat sambung, kedalaman 1,4 meter</t>
        </is>
      </c>
      <c r="D404" s="35" t="inlineStr">
        <is>
          <t>meter</t>
        </is>
      </c>
      <c r="E404" s="37" t="n">
        <v>0</v>
      </c>
      <c r="F404" s="37" t="n">
        <v>42929</v>
      </c>
      <c r="G404" s="68" t="n"/>
      <c r="H404" s="68">
        <f>E404*G404</f>
        <v/>
      </c>
      <c r="I404" s="68">
        <f>F404*G404</f>
        <v/>
      </c>
      <c r="J404" s="68">
        <f>SUM(H404:I404)</f>
        <v/>
      </c>
      <c r="K404" s="43" t="n"/>
    </row>
    <row r="405" hidden="1" ht="43.5" customHeight="1">
      <c r="A405" s="35" t="n">
        <v>397</v>
      </c>
      <c r="B405" s="40" t="inlineStr">
        <is>
          <t>J-BC-TR-4</t>
        </is>
      </c>
      <c r="C405" s="36" t="inlineStr">
        <is>
          <t>Pekerjaan galian, pengurugan kembali dan perbaikan kembali, pengisian pasir, warning tape dan tanda rute kabel serta tempat sambung, kedalaman 1,4 meter</t>
        </is>
      </c>
      <c r="D405" s="35" t="inlineStr">
        <is>
          <t>meter</t>
        </is>
      </c>
      <c r="E405" s="42" t="n">
        <v>0</v>
      </c>
      <c r="F405" s="37" t="n">
        <v>42929</v>
      </c>
      <c r="G405" s="68" t="n"/>
      <c r="H405" s="68">
        <f>E405*G405</f>
        <v/>
      </c>
      <c r="I405" s="68">
        <f>F405*G405</f>
        <v/>
      </c>
      <c r="J405" s="68">
        <f>SUM(H405:I405)</f>
        <v/>
      </c>
      <c r="K405" s="43" t="n"/>
    </row>
    <row r="406" hidden="1" ht="43.5" customHeight="1">
      <c r="A406" s="35" t="n">
        <v>398</v>
      </c>
      <c r="B406" s="35" t="inlineStr">
        <is>
          <t>BC-TR-5</t>
        </is>
      </c>
      <c r="C406" s="36" t="inlineStr">
        <is>
          <t>Pekerjaan galian, pengurugan kembali dan perbaikan kembali, pengisian pasir, warning tape dan tanda rute kabel serta tempat sambung kedalaman 1,5 meter</t>
        </is>
      </c>
      <c r="D406" s="35" t="inlineStr">
        <is>
          <t>meter</t>
        </is>
      </c>
      <c r="E406" s="37" t="n">
        <v>0</v>
      </c>
      <c r="F406" s="37" t="n">
        <v>45194</v>
      </c>
      <c r="G406" s="68" t="n"/>
      <c r="H406" s="68">
        <f>E406*G406</f>
        <v/>
      </c>
      <c r="I406" s="68">
        <f>F406*G406</f>
        <v/>
      </c>
      <c r="J406" s="68">
        <f>SUM(H406:I406)</f>
        <v/>
      </c>
      <c r="K406" s="43" t="n"/>
    </row>
    <row r="407" hidden="1" ht="43.5" customHeight="1">
      <c r="A407" s="35" t="n">
        <v>399</v>
      </c>
      <c r="B407" s="40" t="inlineStr">
        <is>
          <t>J-BC-TR-5</t>
        </is>
      </c>
      <c r="C407" s="36" t="inlineStr">
        <is>
          <t>Pekerjaan galian, pengurugan kembali dan perbaikan kembali, pengisian pasir, warning tape dan tanda rute kabel serta tempat sambung kedalaman 1,5 meter</t>
        </is>
      </c>
      <c r="D407" s="35" t="inlineStr">
        <is>
          <t>meter</t>
        </is>
      </c>
      <c r="E407" s="42" t="n">
        <v>0</v>
      </c>
      <c r="F407" s="37" t="n">
        <v>45194</v>
      </c>
      <c r="G407" s="68" t="n"/>
      <c r="H407" s="68">
        <f>E407*G407</f>
        <v/>
      </c>
      <c r="I407" s="68">
        <f>F407*G407</f>
        <v/>
      </c>
      <c r="J407" s="68">
        <f>SUM(H407:I407)</f>
        <v/>
      </c>
      <c r="K407" s="43" t="n"/>
    </row>
    <row r="408" hidden="1" ht="29" customHeight="1">
      <c r="A408" s="35" t="n">
        <v>400</v>
      </c>
      <c r="B408" s="35" t="inlineStr">
        <is>
          <t>BCTR-ROCK</t>
        </is>
      </c>
      <c r="C408" s="36" t="inlineStr">
        <is>
          <t>Pengadaan galian batu masif kedalaman 1,5 meter, panjang minimum 5 m, termasuk pengadaan marking post</t>
        </is>
      </c>
      <c r="D408" s="35" t="inlineStr">
        <is>
          <t>meter</t>
        </is>
      </c>
      <c r="E408" s="37" t="n">
        <v>0</v>
      </c>
      <c r="F408" s="37" t="n">
        <v>228690</v>
      </c>
      <c r="G408" s="68" t="n"/>
      <c r="H408" s="68">
        <f>E408*G408</f>
        <v/>
      </c>
      <c r="I408" s="68">
        <f>F408*G408</f>
        <v/>
      </c>
      <c r="J408" s="68">
        <f>SUM(H408:I408)</f>
        <v/>
      </c>
      <c r="K408" s="43" t="n"/>
    </row>
    <row r="409" hidden="1" ht="29" customHeight="1">
      <c r="A409" s="35" t="n">
        <v>401</v>
      </c>
      <c r="B409" s="40" t="inlineStr">
        <is>
          <t>J-BCTR-ROCK</t>
        </is>
      </c>
      <c r="C409" s="36" t="inlineStr">
        <is>
          <t>Pengadaan galian batu masif kedalaman 1,5 meter, panjang minimum 5 m, termasuk pengadaan marking post</t>
        </is>
      </c>
      <c r="D409" s="35" t="inlineStr">
        <is>
          <t>meter</t>
        </is>
      </c>
      <c r="E409" s="42" t="n">
        <v>0</v>
      </c>
      <c r="F409" s="37" t="n">
        <v>228690</v>
      </c>
      <c r="G409" s="68" t="n"/>
      <c r="H409" s="68">
        <f>E409*G409</f>
        <v/>
      </c>
      <c r="I409" s="68">
        <f>F409*G409</f>
        <v/>
      </c>
      <c r="J409" s="68">
        <f>SUM(H409:I409)</f>
        <v/>
      </c>
      <c r="K409" s="43" t="n"/>
    </row>
    <row r="410" hidden="1" ht="58" customHeight="1">
      <c r="A410" s="35" t="n">
        <v>402</v>
      </c>
      <c r="B410" s="35" t="inlineStr">
        <is>
          <t>BC-MTR-0.4</t>
        </is>
      </c>
      <c r="C410" s="36" t="inlineStr">
        <is>
          <t>Pekerjaan galian pada permukaan jalan aspal dengan lebar galian 8 cm dan kedalaman 40 cm, termasuk pemetaan utility eksisting dengan metode geo penetrating radar, perbaikan, pengurugan (backfilling) menggunakan concrete type k225 dan pengaspalan</t>
        </is>
      </c>
      <c r="D410" s="35" t="inlineStr">
        <is>
          <t>meter</t>
        </is>
      </c>
      <c r="E410" s="37" t="n">
        <v>0</v>
      </c>
      <c r="F410" s="37" t="n">
        <v>184572</v>
      </c>
      <c r="G410" s="68" t="n"/>
      <c r="H410" s="68">
        <f>E410*G410</f>
        <v/>
      </c>
      <c r="I410" s="68">
        <f>F410*G410</f>
        <v/>
      </c>
      <c r="J410" s="68">
        <f>SUM(H410:I410)</f>
        <v/>
      </c>
      <c r="K410" s="43" t="n"/>
    </row>
    <row r="411" hidden="1" ht="58" customHeight="1">
      <c r="A411" s="35" t="n">
        <v>403</v>
      </c>
      <c r="B411" s="40" t="inlineStr">
        <is>
          <t>J-BC-MTR-0.4</t>
        </is>
      </c>
      <c r="C411" s="36" t="inlineStr">
        <is>
          <t>Pekerjaan galian pada permukaan jalan aspal dengan lebar galian 8 cm dan kedalaman 40 cm, termasuk pemetaan utility eksisting dengan metode geo penetrating radar, perbaikan, pengurugan (backfilling) menggunakan concrete type k225 dan pengaspalan</t>
        </is>
      </c>
      <c r="D411" s="35" t="inlineStr">
        <is>
          <t>meter</t>
        </is>
      </c>
      <c r="E411" s="42" t="n">
        <v>0</v>
      </c>
      <c r="F411" s="37" t="n">
        <v>184572</v>
      </c>
      <c r="G411" s="68" t="n"/>
      <c r="H411" s="68">
        <f>E411*G411</f>
        <v/>
      </c>
      <c r="I411" s="68">
        <f>F411*G411</f>
        <v/>
      </c>
      <c r="J411" s="68">
        <f>SUM(H411:I411)</f>
        <v/>
      </c>
      <c r="K411" s="43" t="n"/>
    </row>
    <row r="412" hidden="1" ht="29" customHeight="1">
      <c r="A412" s="35" t="n">
        <v>404</v>
      </c>
      <c r="B412" s="35" t="inlineStr">
        <is>
          <t>BD-SK</t>
        </is>
      </c>
      <c r="C412" s="36" t="inlineStr">
        <is>
          <t>Pekerjaan bobokan dan perbaikan Dinding Chamber / BTS / STO untuk lubang Sparing Kabel</t>
        </is>
      </c>
      <c r="D412" s="35" t="inlineStr">
        <is>
          <t>Titik</t>
        </is>
      </c>
      <c r="E412" s="37" t="n">
        <v>54799</v>
      </c>
      <c r="F412" s="37" t="n">
        <v>83725</v>
      </c>
      <c r="G412" s="68" t="n"/>
      <c r="H412" s="68">
        <f>E412*G412</f>
        <v/>
      </c>
      <c r="I412" s="68">
        <f>F412*G412</f>
        <v/>
      </c>
      <c r="J412" s="68">
        <f>SUM(H412:I412)</f>
        <v/>
      </c>
      <c r="K412" s="43" t="n"/>
    </row>
    <row r="413" hidden="1" ht="29" customHeight="1">
      <c r="A413" s="35" t="n">
        <v>405</v>
      </c>
      <c r="B413" s="40" t="inlineStr">
        <is>
          <t>M-BD-SK</t>
        </is>
      </c>
      <c r="C413" s="36" t="inlineStr">
        <is>
          <t>Pekerjaan bobokan dan perbaikan Dinding Chamber / BTS / STO untuk lubang Sparing Kabel</t>
        </is>
      </c>
      <c r="D413" s="35" t="inlineStr">
        <is>
          <t>Titik</t>
        </is>
      </c>
      <c r="E413" s="37" t="n">
        <v>54799</v>
      </c>
      <c r="F413" s="42" t="n">
        <v>0</v>
      </c>
      <c r="G413" s="68" t="n"/>
      <c r="H413" s="68">
        <f>E413*G413</f>
        <v/>
      </c>
      <c r="I413" s="68">
        <f>F413*G413</f>
        <v/>
      </c>
      <c r="J413" s="68">
        <f>SUM(H413:I413)</f>
        <v/>
      </c>
      <c r="K413" s="43" t="n"/>
    </row>
    <row r="414" hidden="1" ht="29" customHeight="1">
      <c r="A414" s="35" t="n">
        <v>406</v>
      </c>
      <c r="B414" s="40" t="inlineStr">
        <is>
          <t>J-BD-SK</t>
        </is>
      </c>
      <c r="C414" s="36" t="inlineStr">
        <is>
          <t>Pekerjaan bobokan dan perbaikan Dinding Chamber / BTS / STO untuk lubang Sparing Kabel</t>
        </is>
      </c>
      <c r="D414" s="35" t="inlineStr">
        <is>
          <t>Titik</t>
        </is>
      </c>
      <c r="E414" s="42" t="n">
        <v>0</v>
      </c>
      <c r="F414" s="37" t="n">
        <v>83725</v>
      </c>
      <c r="G414" s="68" t="n"/>
      <c r="H414" s="68">
        <f>E414*G414</f>
        <v/>
      </c>
      <c r="I414" s="68">
        <f>F414*G414</f>
        <v/>
      </c>
      <c r="J414" s="68">
        <f>SUM(H414:I414)</f>
        <v/>
      </c>
      <c r="K414" s="43" t="n"/>
    </row>
    <row r="415" hidden="1" ht="29" customHeight="1">
      <c r="A415" s="35" t="n">
        <v>407</v>
      </c>
      <c r="B415" s="35" t="inlineStr">
        <is>
          <t>SMD-ABS-2A</t>
        </is>
      </c>
      <c r="C415" s="36" t="inlineStr">
        <is>
          <t>Pengadaan dan pemasangan Alat Sambung Micro Duct cabang / lurus 2 cabang,termasuk gas block (seal).</t>
        </is>
      </c>
      <c r="D415" s="35" t="inlineStr">
        <is>
          <t>pcs</t>
        </is>
      </c>
      <c r="E415" s="37" t="n">
        <v>275317</v>
      </c>
      <c r="F415" s="37" t="n">
        <v>158292</v>
      </c>
      <c r="G415" s="68" t="n"/>
      <c r="H415" s="68">
        <f>E415*G415</f>
        <v/>
      </c>
      <c r="I415" s="68">
        <f>F415*G415</f>
        <v/>
      </c>
      <c r="J415" s="68">
        <f>SUM(H415:I415)</f>
        <v/>
      </c>
      <c r="K415" s="43" t="n"/>
    </row>
    <row r="416" hidden="1" ht="29" customHeight="1">
      <c r="A416" s="35" t="n">
        <v>408</v>
      </c>
      <c r="B416" s="40" t="inlineStr">
        <is>
          <t>M-SMD-ABS-2A</t>
        </is>
      </c>
      <c r="C416" s="36" t="inlineStr">
        <is>
          <t>Pengadaan dan pemasangan Alat Sambung Micro Duct cabang / lurus 2 cabang,termasuk gas block (seal).</t>
        </is>
      </c>
      <c r="D416" s="35" t="inlineStr">
        <is>
          <t>pcs</t>
        </is>
      </c>
      <c r="E416" s="37" t="n">
        <v>275317</v>
      </c>
      <c r="F416" s="42" t="n">
        <v>0</v>
      </c>
      <c r="G416" s="68" t="n"/>
      <c r="H416" s="68">
        <f>E416*G416</f>
        <v/>
      </c>
      <c r="I416" s="68">
        <f>F416*G416</f>
        <v/>
      </c>
      <c r="J416" s="68">
        <f>SUM(H416:I416)</f>
        <v/>
      </c>
      <c r="K416" s="43" t="n"/>
    </row>
    <row r="417" hidden="1" ht="29" customHeight="1">
      <c r="A417" s="35" t="n">
        <v>409</v>
      </c>
      <c r="B417" s="40" t="inlineStr">
        <is>
          <t>J-SMD-ABS-2A</t>
        </is>
      </c>
      <c r="C417" s="36" t="inlineStr">
        <is>
          <t>Pengadaan dan pemasangan Alat Sambung Micro Duct cabang / lurus 2 cabang,termasuk gas block (seal).</t>
        </is>
      </c>
      <c r="D417" s="35" t="inlineStr">
        <is>
          <t>pcs</t>
        </is>
      </c>
      <c r="E417" s="42" t="n">
        <v>0</v>
      </c>
      <c r="F417" s="37" t="n">
        <v>158292</v>
      </c>
      <c r="G417" s="68" t="n"/>
      <c r="H417" s="68">
        <f>E417*G417</f>
        <v/>
      </c>
      <c r="I417" s="68">
        <f>F417*G417</f>
        <v/>
      </c>
      <c r="J417" s="68">
        <f>SUM(H417:I417)</f>
        <v/>
      </c>
      <c r="K417" s="43" t="n"/>
    </row>
    <row r="418" hidden="1" ht="29" customHeight="1">
      <c r="A418" s="35" t="n">
        <v>410</v>
      </c>
      <c r="B418" s="35" t="inlineStr">
        <is>
          <t>SMD-ABS-3A</t>
        </is>
      </c>
      <c r="C418" s="36" t="inlineStr">
        <is>
          <t>Pengadaan dan pemasangan Alat Sambung Micro Duct cabang / lurus 3 cabang,termasuk gas block (seal).</t>
        </is>
      </c>
      <c r="D418" s="35" t="inlineStr">
        <is>
          <t>pcs</t>
        </is>
      </c>
      <c r="E418" s="37" t="n">
        <v>300687</v>
      </c>
      <c r="F418" s="37" t="n">
        <v>170987</v>
      </c>
      <c r="G418" s="68" t="n"/>
      <c r="H418" s="68">
        <f>E418*G418</f>
        <v/>
      </c>
      <c r="I418" s="68">
        <f>F418*G418</f>
        <v/>
      </c>
      <c r="J418" s="68">
        <f>SUM(H418:I418)</f>
        <v/>
      </c>
      <c r="K418" s="43" t="n"/>
    </row>
    <row r="419" hidden="1" ht="29" customHeight="1">
      <c r="A419" s="35" t="n">
        <v>411</v>
      </c>
      <c r="B419" s="40" t="inlineStr">
        <is>
          <t>M-SMD-ABS-3A</t>
        </is>
      </c>
      <c r="C419" s="36" t="inlineStr">
        <is>
          <t>Pengadaan dan pemasangan Alat Sambung Micro Duct cabang / lurus 3 cabang,termasuk gas block (seal).</t>
        </is>
      </c>
      <c r="D419" s="35" t="inlineStr">
        <is>
          <t>pcs</t>
        </is>
      </c>
      <c r="E419" s="37" t="n">
        <v>300687</v>
      </c>
      <c r="F419" s="42" t="n">
        <v>0</v>
      </c>
      <c r="G419" s="68" t="n"/>
      <c r="H419" s="68">
        <f>E419*G419</f>
        <v/>
      </c>
      <c r="I419" s="68">
        <f>F419*G419</f>
        <v/>
      </c>
      <c r="J419" s="68">
        <f>SUM(H419:I419)</f>
        <v/>
      </c>
      <c r="K419" s="43" t="n"/>
    </row>
    <row r="420" hidden="1" ht="29" customHeight="1">
      <c r="A420" s="35" t="n">
        <v>412</v>
      </c>
      <c r="B420" s="40" t="inlineStr">
        <is>
          <t>J-SMD-ABS-3A</t>
        </is>
      </c>
      <c r="C420" s="36" t="inlineStr">
        <is>
          <t>Pengadaan dan pemasangan Alat Sambung Micro Duct cabang / lurus 3 cabang,termasuk gas block (seal).</t>
        </is>
      </c>
      <c r="D420" s="35" t="inlineStr">
        <is>
          <t>pcs</t>
        </is>
      </c>
      <c r="E420" s="42" t="n">
        <v>0</v>
      </c>
      <c r="F420" s="37" t="n">
        <v>170987</v>
      </c>
      <c r="G420" s="68" t="n"/>
      <c r="H420" s="68">
        <f>E420*G420</f>
        <v/>
      </c>
      <c r="I420" s="68">
        <f>F420*G420</f>
        <v/>
      </c>
      <c r="J420" s="68">
        <f>SUM(H420:I420)</f>
        <v/>
      </c>
      <c r="K420" s="43" t="n"/>
    </row>
    <row r="421" hidden="1" ht="29" customHeight="1">
      <c r="A421" s="35" t="n">
        <v>413</v>
      </c>
      <c r="B421" s="35" t="inlineStr">
        <is>
          <t>SMD-ABS-4A</t>
        </is>
      </c>
      <c r="C421" s="36" t="inlineStr">
        <is>
          <t>Pengadaan dan pemasangan Alat Sambung Micro Duct cabang / lurus 4 cabang,termasuk gas block (seal).</t>
        </is>
      </c>
      <c r="D421" s="35" t="inlineStr">
        <is>
          <t>pcs</t>
        </is>
      </c>
      <c r="E421" s="37" t="n">
        <v>839426</v>
      </c>
      <c r="F421" s="37" t="n">
        <v>188089</v>
      </c>
      <c r="G421" s="68" t="n"/>
      <c r="H421" s="68">
        <f>E421*G421</f>
        <v/>
      </c>
      <c r="I421" s="68">
        <f>F421*G421</f>
        <v/>
      </c>
      <c r="J421" s="68">
        <f>SUM(H421:I421)</f>
        <v/>
      </c>
      <c r="K421" s="43" t="n"/>
    </row>
    <row r="422" hidden="1" ht="29" customHeight="1">
      <c r="A422" s="35" t="n">
        <v>414</v>
      </c>
      <c r="B422" s="40" t="inlineStr">
        <is>
          <t>M-SMD-ABS-4A</t>
        </is>
      </c>
      <c r="C422" s="36" t="inlineStr">
        <is>
          <t>Pengadaan dan pemasangan Alat Sambung Micro Duct cabang / lurus 4 cabang,termasuk gas block (seal).</t>
        </is>
      </c>
      <c r="D422" s="35" t="inlineStr">
        <is>
          <t>pcs</t>
        </is>
      </c>
      <c r="E422" s="37" t="n">
        <v>839426</v>
      </c>
      <c r="F422" s="42" t="n">
        <v>0</v>
      </c>
      <c r="G422" s="68" t="n"/>
      <c r="H422" s="68">
        <f>E422*G422</f>
        <v/>
      </c>
      <c r="I422" s="68">
        <f>F422*G422</f>
        <v/>
      </c>
      <c r="J422" s="68">
        <f>SUM(H422:I422)</f>
        <v/>
      </c>
      <c r="K422" s="43" t="n"/>
    </row>
    <row r="423" hidden="1" ht="29" customHeight="1">
      <c r="A423" s="35" t="n">
        <v>415</v>
      </c>
      <c r="B423" s="40" t="inlineStr">
        <is>
          <t>J-SMD-ABS-4A</t>
        </is>
      </c>
      <c r="C423" s="36" t="inlineStr">
        <is>
          <t>Pengadaan dan pemasangan Alat Sambung Micro Duct cabang / lurus 4 cabang,termasuk gas block (seal).</t>
        </is>
      </c>
      <c r="D423" s="35" t="inlineStr">
        <is>
          <t>pcs</t>
        </is>
      </c>
      <c r="E423" s="42" t="n">
        <v>0</v>
      </c>
      <c r="F423" s="37" t="n">
        <v>188089</v>
      </c>
      <c r="G423" s="68" t="n"/>
      <c r="H423" s="68">
        <f>E423*G423</f>
        <v/>
      </c>
      <c r="I423" s="68">
        <f>F423*G423</f>
        <v/>
      </c>
      <c r="J423" s="68">
        <f>SUM(H423:I423)</f>
        <v/>
      </c>
      <c r="K423" s="43" t="n"/>
    </row>
    <row r="424" hidden="1" ht="29" customHeight="1">
      <c r="A424" s="35" t="n">
        <v>416</v>
      </c>
      <c r="B424" s="35" t="inlineStr">
        <is>
          <t>SMD-ABS-6A</t>
        </is>
      </c>
      <c r="C424" s="36" t="inlineStr">
        <is>
          <t>Pengadaan dan pemasangan Alat Sambung Micro Duct cabang / lurus 6 cabang,termasuk gas block (seal).</t>
        </is>
      </c>
      <c r="D424" s="35" t="inlineStr">
        <is>
          <t>pcs</t>
        </is>
      </c>
      <c r="E424" s="37" t="n">
        <v>702775</v>
      </c>
      <c r="F424" s="37" t="n">
        <v>206898</v>
      </c>
      <c r="G424" s="68" t="n"/>
      <c r="H424" s="68">
        <f>E424*G424</f>
        <v/>
      </c>
      <c r="I424" s="68">
        <f>F424*G424</f>
        <v/>
      </c>
      <c r="J424" s="68">
        <f>SUM(H424:I424)</f>
        <v/>
      </c>
      <c r="K424" s="43" t="n"/>
    </row>
    <row r="425" hidden="1" ht="29" customHeight="1">
      <c r="A425" s="35" t="n">
        <v>417</v>
      </c>
      <c r="B425" s="40" t="inlineStr">
        <is>
          <t>M-SMD-ABS-6A</t>
        </is>
      </c>
      <c r="C425" s="36" t="inlineStr">
        <is>
          <t>Pengadaan dan pemasangan Alat Sambung Micro Duct cabang / lurus 6 cabang,termasuk gas block (seal).</t>
        </is>
      </c>
      <c r="D425" s="35" t="inlineStr">
        <is>
          <t>pcs</t>
        </is>
      </c>
      <c r="E425" s="37" t="n">
        <v>702775</v>
      </c>
      <c r="F425" s="42" t="n">
        <v>0</v>
      </c>
      <c r="G425" s="68" t="n"/>
      <c r="H425" s="68">
        <f>E425*G425</f>
        <v/>
      </c>
      <c r="I425" s="68">
        <f>F425*G425</f>
        <v/>
      </c>
      <c r="J425" s="68">
        <f>SUM(H425:I425)</f>
        <v/>
      </c>
      <c r="K425" s="43" t="n"/>
    </row>
    <row r="426" hidden="1" ht="29" customHeight="1">
      <c r="A426" s="35" t="n">
        <v>418</v>
      </c>
      <c r="B426" s="40" t="inlineStr">
        <is>
          <t>J-SMD-ABS-6A</t>
        </is>
      </c>
      <c r="C426" s="36" t="inlineStr">
        <is>
          <t>Pengadaan dan pemasangan Alat Sambung Micro Duct cabang / lurus 6 cabang,termasuk gas block (seal).</t>
        </is>
      </c>
      <c r="D426" s="35" t="inlineStr">
        <is>
          <t>pcs</t>
        </is>
      </c>
      <c r="E426" s="42" t="n">
        <v>0</v>
      </c>
      <c r="F426" s="37" t="n">
        <v>206898</v>
      </c>
      <c r="G426" s="68" t="n"/>
      <c r="H426" s="68">
        <f>E426*G426</f>
        <v/>
      </c>
      <c r="I426" s="68">
        <f>F426*G426</f>
        <v/>
      </c>
      <c r="J426" s="68">
        <f>SUM(H426:I426)</f>
        <v/>
      </c>
      <c r="K426" s="43" t="n"/>
    </row>
    <row r="427" hidden="1" ht="14.5" customHeight="1">
      <c r="A427" s="35" t="n">
        <v>419</v>
      </c>
      <c r="B427" s="35" t="inlineStr">
        <is>
          <t>DD-MDSC-5/3.5</t>
        </is>
      </c>
      <c r="C427" s="36" t="inlineStr">
        <is>
          <t>Pengadaan dan Pemasangan Straight Connector 5/3,5 mm</t>
        </is>
      </c>
      <c r="D427" s="35" t="inlineStr">
        <is>
          <t>pcs</t>
        </is>
      </c>
      <c r="E427" s="37" t="n">
        <v>24728</v>
      </c>
      <c r="F427" s="37" t="n">
        <v>520</v>
      </c>
      <c r="G427" s="68" t="n"/>
      <c r="H427" s="68">
        <f>E427*G427</f>
        <v/>
      </c>
      <c r="I427" s="68">
        <f>F427*G427</f>
        <v/>
      </c>
      <c r="J427" s="68">
        <f>SUM(H427:I427)</f>
        <v/>
      </c>
      <c r="K427" s="43" t="n"/>
    </row>
    <row r="428" hidden="1" ht="14.5" customHeight="1">
      <c r="A428" s="35" t="n">
        <v>420</v>
      </c>
      <c r="B428" s="40" t="inlineStr">
        <is>
          <t>M-DD-MDSC-5/3.5</t>
        </is>
      </c>
      <c r="C428" s="36" t="inlineStr">
        <is>
          <t>Pengadaan dan Pemasangan Straight Connector 5/3,5 mm</t>
        </is>
      </c>
      <c r="D428" s="35" t="inlineStr">
        <is>
          <t>pcs</t>
        </is>
      </c>
      <c r="E428" s="37" t="n">
        <v>24728</v>
      </c>
      <c r="F428" s="42" t="n">
        <v>0</v>
      </c>
      <c r="G428" s="68" t="n"/>
      <c r="H428" s="68">
        <f>E428*G428</f>
        <v/>
      </c>
      <c r="I428" s="68">
        <f>F428*G428</f>
        <v/>
      </c>
      <c r="J428" s="68">
        <f>SUM(H428:I428)</f>
        <v/>
      </c>
      <c r="K428" s="43" t="n"/>
    </row>
    <row r="429" hidden="1" ht="14.5" customHeight="1">
      <c r="A429" s="35" t="n">
        <v>421</v>
      </c>
      <c r="B429" s="40" t="inlineStr">
        <is>
          <t>J-DD-MDSC-5/3.5</t>
        </is>
      </c>
      <c r="C429" s="36" t="inlineStr">
        <is>
          <t>Pengadaan dan Pemasangan Straight Connector 5/3,5 mm</t>
        </is>
      </c>
      <c r="D429" s="35" t="inlineStr">
        <is>
          <t>pcs</t>
        </is>
      </c>
      <c r="E429" s="42" t="n">
        <v>0</v>
      </c>
      <c r="F429" s="37" t="n">
        <v>520</v>
      </c>
      <c r="G429" s="68" t="n"/>
      <c r="H429" s="68">
        <f>E429*G429</f>
        <v/>
      </c>
      <c r="I429" s="68">
        <f>F429*G429</f>
        <v/>
      </c>
      <c r="J429" s="68">
        <f>SUM(H429:I429)</f>
        <v/>
      </c>
      <c r="K429" s="43" t="n"/>
    </row>
    <row r="430" hidden="1" ht="14.5" customHeight="1">
      <c r="A430" s="35" t="n">
        <v>422</v>
      </c>
      <c r="B430" s="35" t="inlineStr">
        <is>
          <t>DD-MDSC-10/8</t>
        </is>
      </c>
      <c r="C430" s="36" t="inlineStr">
        <is>
          <t>Pengadaan dan Pemasangan Straight Connector 10/8 mm</t>
        </is>
      </c>
      <c r="D430" s="35" t="inlineStr">
        <is>
          <t>pcs</t>
        </is>
      </c>
      <c r="E430" s="37" t="n">
        <v>26029</v>
      </c>
      <c r="F430" s="37" t="n">
        <v>520</v>
      </c>
      <c r="G430" s="68" t="n"/>
      <c r="H430" s="68">
        <f>E430*G430</f>
        <v/>
      </c>
      <c r="I430" s="68">
        <f>F430*G430</f>
        <v/>
      </c>
      <c r="J430" s="68">
        <f>SUM(H430:I430)</f>
        <v/>
      </c>
      <c r="K430" s="43" t="n"/>
    </row>
    <row r="431" hidden="1" ht="14.5" customHeight="1">
      <c r="A431" s="35" t="n">
        <v>423</v>
      </c>
      <c r="B431" s="40" t="inlineStr">
        <is>
          <t>M-DD-MDSC-10/8</t>
        </is>
      </c>
      <c r="C431" s="36" t="inlineStr">
        <is>
          <t>Pengadaan dan Pemasangan Straight Connector 10/8 mm</t>
        </is>
      </c>
      <c r="D431" s="35" t="inlineStr">
        <is>
          <t>pcs</t>
        </is>
      </c>
      <c r="E431" s="37" t="n">
        <v>26029</v>
      </c>
      <c r="F431" s="42" t="n">
        <v>0</v>
      </c>
      <c r="G431" s="68" t="n"/>
      <c r="H431" s="68">
        <f>E431*G431</f>
        <v/>
      </c>
      <c r="I431" s="68">
        <f>F431*G431</f>
        <v/>
      </c>
      <c r="J431" s="68">
        <f>SUM(H431:I431)</f>
        <v/>
      </c>
      <c r="K431" s="43" t="n"/>
    </row>
    <row r="432" hidden="1" ht="14.5" customHeight="1">
      <c r="A432" s="35" t="n">
        <v>424</v>
      </c>
      <c r="B432" s="40" t="inlineStr">
        <is>
          <t>J-DD-MDSC-10/8</t>
        </is>
      </c>
      <c r="C432" s="36" t="inlineStr">
        <is>
          <t>Pengadaan dan Pemasangan Straight Connector 10/8 mm</t>
        </is>
      </c>
      <c r="D432" s="35" t="inlineStr">
        <is>
          <t>pcs</t>
        </is>
      </c>
      <c r="E432" s="42" t="n">
        <v>0</v>
      </c>
      <c r="F432" s="37" t="n">
        <v>520</v>
      </c>
      <c r="G432" s="68" t="n"/>
      <c r="H432" s="68">
        <f>E432*G432</f>
        <v/>
      </c>
      <c r="I432" s="68">
        <f>F432*G432</f>
        <v/>
      </c>
      <c r="J432" s="68">
        <f>SUM(H432:I432)</f>
        <v/>
      </c>
      <c r="K432" s="43" t="n"/>
    </row>
    <row r="433" hidden="1" ht="14.5" customHeight="1">
      <c r="A433" s="35" t="n">
        <v>425</v>
      </c>
      <c r="B433" s="35" t="inlineStr">
        <is>
          <t>DD-MDSC-12/10</t>
        </is>
      </c>
      <c r="C433" s="36" t="inlineStr">
        <is>
          <t>Pengadaan dan Pemasangan Straight Connector 12/10 mm</t>
        </is>
      </c>
      <c r="D433" s="35" t="inlineStr">
        <is>
          <t>pcs</t>
        </is>
      </c>
      <c r="E433" s="37" t="n">
        <v>27461</v>
      </c>
      <c r="F433" s="37" t="n">
        <v>520</v>
      </c>
      <c r="G433" s="68" t="n"/>
      <c r="H433" s="68">
        <f>E433*G433</f>
        <v/>
      </c>
      <c r="I433" s="68">
        <f>F433*G433</f>
        <v/>
      </c>
      <c r="J433" s="68">
        <f>SUM(H433:I433)</f>
        <v/>
      </c>
      <c r="K433" s="43" t="n"/>
    </row>
    <row r="434" hidden="1" ht="14.5" customHeight="1">
      <c r="A434" s="35" t="n">
        <v>426</v>
      </c>
      <c r="B434" s="40" t="inlineStr">
        <is>
          <t>M-DD-MDSC-12/10</t>
        </is>
      </c>
      <c r="C434" s="36" t="inlineStr">
        <is>
          <t>Pengadaan dan Pemasangan Straight Connector 12/10 mm</t>
        </is>
      </c>
      <c r="D434" s="35" t="inlineStr">
        <is>
          <t>pcs</t>
        </is>
      </c>
      <c r="E434" s="37" t="n">
        <v>27461</v>
      </c>
      <c r="F434" s="42" t="n">
        <v>0</v>
      </c>
      <c r="G434" s="68" t="n"/>
      <c r="H434" s="68">
        <f>E434*G434</f>
        <v/>
      </c>
      <c r="I434" s="68">
        <f>F434*G434</f>
        <v/>
      </c>
      <c r="J434" s="68">
        <f>SUM(H434:I434)</f>
        <v/>
      </c>
      <c r="K434" s="43" t="n"/>
    </row>
    <row r="435" hidden="1" ht="14.5" customHeight="1">
      <c r="A435" s="35" t="n">
        <v>427</v>
      </c>
      <c r="B435" s="40" t="inlineStr">
        <is>
          <t>J-DD-MDSC-12/10</t>
        </is>
      </c>
      <c r="C435" s="36" t="inlineStr">
        <is>
          <t>Pengadaan dan Pemasangan Straight Connector 12/10 mm</t>
        </is>
      </c>
      <c r="D435" s="35" t="inlineStr">
        <is>
          <t>pcs</t>
        </is>
      </c>
      <c r="E435" s="42" t="n">
        <v>0</v>
      </c>
      <c r="F435" s="37" t="n">
        <v>520</v>
      </c>
      <c r="G435" s="68" t="n"/>
      <c r="H435" s="68">
        <f>E435*G435</f>
        <v/>
      </c>
      <c r="I435" s="68">
        <f>F435*G435</f>
        <v/>
      </c>
      <c r="J435" s="68">
        <f>SUM(H435:I435)</f>
        <v/>
      </c>
      <c r="K435" s="43" t="n"/>
    </row>
    <row r="436" hidden="1" ht="29" customHeight="1">
      <c r="A436" s="35" t="n">
        <v>428</v>
      </c>
      <c r="B436" s="35" t="inlineStr">
        <is>
          <t>DD-MDDI-1A</t>
        </is>
      </c>
      <c r="C436" s="36" t="inlineStr">
        <is>
          <t>Pengadaan dan Pemasangan Micro Duct 5/3.5mm, Direct Install, 1 way, untuk Air / Water Blowing kabel FO termasuk connector</t>
        </is>
      </c>
      <c r="D436" s="35" t="inlineStr">
        <is>
          <t>meter</t>
        </is>
      </c>
      <c r="E436" s="37" t="n">
        <v>5928</v>
      </c>
      <c r="F436" s="37" t="n">
        <v>1861</v>
      </c>
      <c r="G436" s="68" t="n"/>
      <c r="H436" s="68">
        <f>E436*G436</f>
        <v/>
      </c>
      <c r="I436" s="68">
        <f>F436*G436</f>
        <v/>
      </c>
      <c r="J436" s="68">
        <f>SUM(H436:I436)</f>
        <v/>
      </c>
      <c r="K436" s="43" t="n"/>
    </row>
    <row r="437" hidden="1" ht="29" customHeight="1">
      <c r="A437" s="35" t="n">
        <v>429</v>
      </c>
      <c r="B437" s="40" t="inlineStr">
        <is>
          <t>M-DD-MDDI-1A</t>
        </is>
      </c>
      <c r="C437" s="36" t="inlineStr">
        <is>
          <t>Pengadaan dan Pemasangan Micro Duct 5/3.5mm, Direct Install, 1 way, untuk Air / Water Blowing kabel FO termasuk connector</t>
        </is>
      </c>
      <c r="D437" s="35" t="inlineStr">
        <is>
          <t>meter</t>
        </is>
      </c>
      <c r="E437" s="37" t="n">
        <v>5928</v>
      </c>
      <c r="F437" s="42" t="n">
        <v>0</v>
      </c>
      <c r="G437" s="68" t="n"/>
      <c r="H437" s="68">
        <f>E437*G437</f>
        <v/>
      </c>
      <c r="I437" s="68">
        <f>F437*G437</f>
        <v/>
      </c>
      <c r="J437" s="68">
        <f>SUM(H437:I437)</f>
        <v/>
      </c>
      <c r="K437" s="43" t="n"/>
    </row>
    <row r="438" hidden="1" ht="29" customHeight="1">
      <c r="A438" s="35" t="n">
        <v>430</v>
      </c>
      <c r="B438" s="40" t="inlineStr">
        <is>
          <t>J-DD-MDDI-1A</t>
        </is>
      </c>
      <c r="C438" s="36" t="inlineStr">
        <is>
          <t>Pengadaan dan Pemasangan Micro Duct 5/3.5mm, Direct Install, 1 way, untuk Air / Water Blowing kabel FO termasuk connector</t>
        </is>
      </c>
      <c r="D438" s="35" t="inlineStr">
        <is>
          <t>meter</t>
        </is>
      </c>
      <c r="E438" s="42" t="n">
        <v>0</v>
      </c>
      <c r="F438" s="37" t="n">
        <v>1861</v>
      </c>
      <c r="G438" s="68" t="n"/>
      <c r="H438" s="68">
        <f>E438*G438</f>
        <v/>
      </c>
      <c r="I438" s="68">
        <f>F438*G438</f>
        <v/>
      </c>
      <c r="J438" s="68">
        <f>SUM(H438:I438)</f>
        <v/>
      </c>
      <c r="K438" s="43" t="n"/>
    </row>
    <row r="439" hidden="1" ht="29" customHeight="1">
      <c r="A439" s="35" t="n">
        <v>431</v>
      </c>
      <c r="B439" s="35" t="inlineStr">
        <is>
          <t>DD-MDDI-2A</t>
        </is>
      </c>
      <c r="C439" s="36" t="inlineStr">
        <is>
          <t>Pengadaan dan Pemasangan Micro Duct 5/3.5mm, Direct Install, 2 way, untuk Air / Water Blowing kabel FO termasuk connector</t>
        </is>
      </c>
      <c r="D439" s="35" t="inlineStr">
        <is>
          <t>meter</t>
        </is>
      </c>
      <c r="E439" s="37" t="n">
        <v>8062</v>
      </c>
      <c r="F439" s="37" t="n">
        <v>2450</v>
      </c>
      <c r="G439" s="68" t="n"/>
      <c r="H439" s="68">
        <f>E439*G439</f>
        <v/>
      </c>
      <c r="I439" s="68">
        <f>F439*G439</f>
        <v/>
      </c>
      <c r="J439" s="68">
        <f>SUM(H439:I439)</f>
        <v/>
      </c>
      <c r="K439" s="43" t="n"/>
    </row>
    <row r="440" hidden="1" ht="29" customHeight="1">
      <c r="A440" s="35" t="n">
        <v>432</v>
      </c>
      <c r="B440" s="40" t="inlineStr">
        <is>
          <t>M-DD-MDDI-2A</t>
        </is>
      </c>
      <c r="C440" s="36" t="inlineStr">
        <is>
          <t>Pengadaan dan Pemasangan Micro Duct 5/3.5mm, Direct Install, 2 way, untuk Air / Water Blowing kabel FO termasuk connector</t>
        </is>
      </c>
      <c r="D440" s="35" t="inlineStr">
        <is>
          <t>meter</t>
        </is>
      </c>
      <c r="E440" s="37" t="n">
        <v>8062</v>
      </c>
      <c r="F440" s="42" t="n">
        <v>0</v>
      </c>
      <c r="G440" s="68" t="n"/>
      <c r="H440" s="68">
        <f>E440*G440</f>
        <v/>
      </c>
      <c r="I440" s="68">
        <f>F440*G440</f>
        <v/>
      </c>
      <c r="J440" s="68">
        <f>SUM(H440:I440)</f>
        <v/>
      </c>
      <c r="K440" s="43" t="n"/>
    </row>
    <row r="441" hidden="1" ht="29" customHeight="1">
      <c r="A441" s="35" t="n">
        <v>433</v>
      </c>
      <c r="B441" s="40" t="inlineStr">
        <is>
          <t>J-DD-MDDI-2A</t>
        </is>
      </c>
      <c r="C441" s="36" t="inlineStr">
        <is>
          <t>Pengadaan dan Pemasangan Micro Duct 5/3.5mm, Direct Install, 2 way, untuk Air / Water Blowing kabel FO termasuk connector</t>
        </is>
      </c>
      <c r="D441" s="35" t="inlineStr">
        <is>
          <t>meter</t>
        </is>
      </c>
      <c r="E441" s="42" t="n">
        <v>0</v>
      </c>
      <c r="F441" s="37" t="n">
        <v>2450</v>
      </c>
      <c r="G441" s="68" t="n"/>
      <c r="H441" s="68">
        <f>E441*G441</f>
        <v/>
      </c>
      <c r="I441" s="68">
        <f>F441*G441</f>
        <v/>
      </c>
      <c r="J441" s="68">
        <f>SUM(H441:I441)</f>
        <v/>
      </c>
      <c r="K441" s="43" t="n"/>
    </row>
    <row r="442" hidden="1" ht="29" customHeight="1">
      <c r="A442" s="35" t="n">
        <v>434</v>
      </c>
      <c r="B442" s="35" t="inlineStr">
        <is>
          <t>DD-MDDI-4A</t>
        </is>
      </c>
      <c r="C442" s="36" t="inlineStr">
        <is>
          <t>Pengadaan dan Pemasangan Micro Duct 5/3.5mm, Direct Install, 4 way, untuk Air / Water Blowing kabel FO termasuk connector</t>
        </is>
      </c>
      <c r="D442" s="35" t="inlineStr">
        <is>
          <t>meter</t>
        </is>
      </c>
      <c r="E442" s="37" t="n">
        <v>12742</v>
      </c>
      <c r="F442" s="37" t="n">
        <v>2805</v>
      </c>
      <c r="G442" s="68" t="n"/>
      <c r="H442" s="68">
        <f>E442*G442</f>
        <v/>
      </c>
      <c r="I442" s="68">
        <f>F442*G442</f>
        <v/>
      </c>
      <c r="J442" s="68">
        <f>SUM(H442:I442)</f>
        <v/>
      </c>
      <c r="K442" s="43" t="n"/>
    </row>
    <row r="443" hidden="1" ht="29" customHeight="1">
      <c r="A443" s="35" t="n">
        <v>435</v>
      </c>
      <c r="B443" s="40" t="inlineStr">
        <is>
          <t>M-DD-MDDI-4A</t>
        </is>
      </c>
      <c r="C443" s="36" t="inlineStr">
        <is>
          <t>Pengadaan dan Pemasangan Micro Duct 5/3.5mm, Direct Install, 4 way, untuk Air / Water Blowing kabel FO termasuk connector</t>
        </is>
      </c>
      <c r="D443" s="35" t="inlineStr">
        <is>
          <t>meter</t>
        </is>
      </c>
      <c r="E443" s="37" t="n">
        <v>12742</v>
      </c>
      <c r="F443" s="42" t="n">
        <v>0</v>
      </c>
      <c r="G443" s="68" t="n"/>
      <c r="H443" s="68">
        <f>E443*G443</f>
        <v/>
      </c>
      <c r="I443" s="68">
        <f>F443*G443</f>
        <v/>
      </c>
      <c r="J443" s="68">
        <f>SUM(H443:I443)</f>
        <v/>
      </c>
      <c r="K443" s="43" t="n"/>
    </row>
    <row r="444" hidden="1" ht="29" customHeight="1">
      <c r="A444" s="35" t="n">
        <v>436</v>
      </c>
      <c r="B444" s="40" t="inlineStr">
        <is>
          <t>J-DD-MDDI-4A</t>
        </is>
      </c>
      <c r="C444" s="36" t="inlineStr">
        <is>
          <t>Pengadaan dan Pemasangan Micro Duct 5/3.5mm, Direct Install, 4 way, untuk Air / Water Blowing kabel FO termasuk connector</t>
        </is>
      </c>
      <c r="D444" s="35" t="inlineStr">
        <is>
          <t>meter</t>
        </is>
      </c>
      <c r="E444" s="42" t="n">
        <v>0</v>
      </c>
      <c r="F444" s="37" t="n">
        <v>2805</v>
      </c>
      <c r="G444" s="68" t="n"/>
      <c r="H444" s="68">
        <f>E444*G444</f>
        <v/>
      </c>
      <c r="I444" s="68">
        <f>F444*G444</f>
        <v/>
      </c>
      <c r="J444" s="68">
        <f>SUM(H444:I444)</f>
        <v/>
      </c>
      <c r="K444" s="43" t="n"/>
    </row>
    <row r="445" hidden="1" ht="29" customHeight="1">
      <c r="A445" s="35" t="n">
        <v>437</v>
      </c>
      <c r="B445" s="35" t="inlineStr">
        <is>
          <t>DD-MDDI-7A</t>
        </is>
      </c>
      <c r="C445" s="36" t="inlineStr">
        <is>
          <t>Pengadaan dan Pemasangan Micro Duct 5/3.5mm, Direct Install, 7 way, untuk Air / Water Blowing kabel FO termasuk connector</t>
        </is>
      </c>
      <c r="D445" s="35" t="inlineStr">
        <is>
          <t>meter</t>
        </is>
      </c>
      <c r="E445" s="37" t="n">
        <v>18073</v>
      </c>
      <c r="F445" s="37" t="n">
        <v>2828</v>
      </c>
      <c r="G445" s="68" t="n"/>
      <c r="H445" s="68">
        <f>E445*G445</f>
        <v/>
      </c>
      <c r="I445" s="68">
        <f>F445*G445</f>
        <v/>
      </c>
      <c r="J445" s="68">
        <f>SUM(H445:I445)</f>
        <v/>
      </c>
      <c r="K445" s="43" t="n"/>
    </row>
    <row r="446" hidden="1" ht="29" customHeight="1">
      <c r="A446" s="35" t="n">
        <v>438</v>
      </c>
      <c r="B446" s="40" t="inlineStr">
        <is>
          <t>M-DD-MDDI-7A</t>
        </is>
      </c>
      <c r="C446" s="36" t="inlineStr">
        <is>
          <t>Pengadaan dan Pemasangan Micro Duct 5/3.5mm, Direct Install, 7 way, untuk Air / Water Blowing kabel FO termasuk connector</t>
        </is>
      </c>
      <c r="D446" s="35" t="inlineStr">
        <is>
          <t>meter</t>
        </is>
      </c>
      <c r="E446" s="37" t="n">
        <v>18073</v>
      </c>
      <c r="F446" s="42" t="n">
        <v>0</v>
      </c>
      <c r="G446" s="68" t="n"/>
      <c r="H446" s="68">
        <f>E446*G446</f>
        <v/>
      </c>
      <c r="I446" s="68">
        <f>F446*G446</f>
        <v/>
      </c>
      <c r="J446" s="68">
        <f>SUM(H446:I446)</f>
        <v/>
      </c>
      <c r="K446" s="43" t="n"/>
    </row>
    <row r="447" hidden="1" ht="29" customHeight="1">
      <c r="A447" s="35" t="n">
        <v>439</v>
      </c>
      <c r="B447" s="40" t="inlineStr">
        <is>
          <t>J-DD-MDDI-7A</t>
        </is>
      </c>
      <c r="C447" s="36" t="inlineStr">
        <is>
          <t>Pengadaan dan Pemasangan Micro Duct 5/3.5mm, Direct Install, 7 way, untuk Air / Water Blowing kabel FO termasuk connector</t>
        </is>
      </c>
      <c r="D447" s="35" t="inlineStr">
        <is>
          <t>meter</t>
        </is>
      </c>
      <c r="E447" s="42" t="n">
        <v>0</v>
      </c>
      <c r="F447" s="37" t="n">
        <v>2828</v>
      </c>
      <c r="G447" s="68" t="n"/>
      <c r="H447" s="68">
        <f>E447*G447</f>
        <v/>
      </c>
      <c r="I447" s="68">
        <f>F447*G447</f>
        <v/>
      </c>
      <c r="J447" s="68">
        <f>SUM(H447:I447)</f>
        <v/>
      </c>
      <c r="K447" s="43" t="n"/>
    </row>
    <row r="448" hidden="1" ht="29" customHeight="1">
      <c r="A448" s="35" t="n">
        <v>440</v>
      </c>
      <c r="B448" s="35" t="inlineStr">
        <is>
          <t>DD-MDDI-12A</t>
        </is>
      </c>
      <c r="C448" s="36" t="inlineStr">
        <is>
          <t>Pengadaan dan Pemasangan Micro Duct 5/3.5mm, Direct Install, 12 way, untuk Air / Water Blowing kabel FO termasuk connector</t>
        </is>
      </c>
      <c r="D448" s="35" t="inlineStr">
        <is>
          <t>meter</t>
        </is>
      </c>
      <c r="E448" s="37" t="n">
        <v>27174</v>
      </c>
      <c r="F448" s="37" t="n">
        <v>3251</v>
      </c>
      <c r="G448" s="68" t="n"/>
      <c r="H448" s="68">
        <f>E448*G448</f>
        <v/>
      </c>
      <c r="I448" s="68">
        <f>F448*G448</f>
        <v/>
      </c>
      <c r="J448" s="68">
        <f>SUM(H448:I448)</f>
        <v/>
      </c>
      <c r="K448" s="43" t="n"/>
    </row>
    <row r="449" hidden="1" ht="29" customHeight="1">
      <c r="A449" s="35" t="n">
        <v>441</v>
      </c>
      <c r="B449" s="40" t="inlineStr">
        <is>
          <t>M-DD-MDDI-12A</t>
        </is>
      </c>
      <c r="C449" s="36" t="inlineStr">
        <is>
          <t>Pengadaan dan Pemasangan Micro Duct 5/3.5mm, Direct Install, 12 way, untuk Air / Water Blowing kabel FO termasuk connector</t>
        </is>
      </c>
      <c r="D449" s="35" t="inlineStr">
        <is>
          <t>meter</t>
        </is>
      </c>
      <c r="E449" s="37" t="n">
        <v>27174</v>
      </c>
      <c r="F449" s="42" t="n">
        <v>0</v>
      </c>
      <c r="G449" s="68" t="n"/>
      <c r="H449" s="68">
        <f>E449*G449</f>
        <v/>
      </c>
      <c r="I449" s="68">
        <f>F449*G449</f>
        <v/>
      </c>
      <c r="J449" s="68">
        <f>SUM(H449:I449)</f>
        <v/>
      </c>
      <c r="K449" s="43" t="n"/>
    </row>
    <row r="450" hidden="1" ht="29" customHeight="1">
      <c r="A450" s="35" t="n">
        <v>442</v>
      </c>
      <c r="B450" s="40" t="inlineStr">
        <is>
          <t>J-DD-MDDI-12A</t>
        </is>
      </c>
      <c r="C450" s="36" t="inlineStr">
        <is>
          <t>Pengadaan dan Pemasangan Micro Duct 5/3.5mm, Direct Install, 12 way, untuk Air / Water Blowing kabel FO termasuk connector</t>
        </is>
      </c>
      <c r="D450" s="35" t="inlineStr">
        <is>
          <t>meter</t>
        </is>
      </c>
      <c r="E450" s="42" t="n">
        <v>0</v>
      </c>
      <c r="F450" s="37" t="n">
        <v>3251</v>
      </c>
      <c r="G450" s="68" t="n"/>
      <c r="H450" s="68">
        <f>E450*G450</f>
        <v/>
      </c>
      <c r="I450" s="68">
        <f>F450*G450</f>
        <v/>
      </c>
      <c r="J450" s="68">
        <f>SUM(H450:I450)</f>
        <v/>
      </c>
      <c r="K450" s="43" t="n"/>
    </row>
    <row r="451" hidden="1" ht="29" customHeight="1">
      <c r="A451" s="35" t="n">
        <v>443</v>
      </c>
      <c r="B451" s="35" t="inlineStr">
        <is>
          <t>DD-MDDI-19A</t>
        </is>
      </c>
      <c r="C451" s="36" t="inlineStr">
        <is>
          <t>Pengadaan dan Pemasangan Micro Duct 5/3.5mm, Direct Install, 19 way, untuk Air / Water Blowing kabel FO termasuk connector</t>
        </is>
      </c>
      <c r="D451" s="35" t="inlineStr">
        <is>
          <t>meter</t>
        </is>
      </c>
      <c r="E451" s="37" t="n">
        <v>37870</v>
      </c>
      <c r="F451" s="37" t="n">
        <v>3785</v>
      </c>
      <c r="G451" s="68" t="n"/>
      <c r="H451" s="68">
        <f>E451*G451</f>
        <v/>
      </c>
      <c r="I451" s="68">
        <f>F451*G451</f>
        <v/>
      </c>
      <c r="J451" s="68">
        <f>SUM(H451:I451)</f>
        <v/>
      </c>
      <c r="K451" s="43" t="n"/>
    </row>
    <row r="452" hidden="1" ht="29" customHeight="1">
      <c r="A452" s="35" t="n">
        <v>444</v>
      </c>
      <c r="B452" s="40" t="inlineStr">
        <is>
          <t>M-DD-MDDI-19A</t>
        </is>
      </c>
      <c r="C452" s="36" t="inlineStr">
        <is>
          <t>Pengadaan dan Pemasangan Micro Duct 5/3.5mm, Direct Install, 19 way, untuk Air / Water Blowing kabel FO termasuk connector</t>
        </is>
      </c>
      <c r="D452" s="35" t="inlineStr">
        <is>
          <t>meter</t>
        </is>
      </c>
      <c r="E452" s="37" t="n">
        <v>37870</v>
      </c>
      <c r="F452" s="42" t="n">
        <v>0</v>
      </c>
      <c r="G452" s="68" t="n"/>
      <c r="H452" s="68">
        <f>E452*G452</f>
        <v/>
      </c>
      <c r="I452" s="68">
        <f>F452*G452</f>
        <v/>
      </c>
      <c r="J452" s="68">
        <f>SUM(H452:I452)</f>
        <v/>
      </c>
      <c r="K452" s="43" t="n"/>
    </row>
    <row r="453" hidden="1" ht="29" customHeight="1">
      <c r="A453" s="35" t="n">
        <v>445</v>
      </c>
      <c r="B453" s="40" t="inlineStr">
        <is>
          <t>J-DD-MDDI-19A</t>
        </is>
      </c>
      <c r="C453" s="36" t="inlineStr">
        <is>
          <t>Pengadaan dan Pemasangan Micro Duct 5/3.5mm, Direct Install, 19 way, untuk Air / Water Blowing kabel FO termasuk connector</t>
        </is>
      </c>
      <c r="D453" s="35" t="inlineStr">
        <is>
          <t>meter</t>
        </is>
      </c>
      <c r="E453" s="42" t="n">
        <v>0</v>
      </c>
      <c r="F453" s="37" t="n">
        <v>3785</v>
      </c>
      <c r="G453" s="68" t="n"/>
      <c r="H453" s="68">
        <f>E453*G453</f>
        <v/>
      </c>
      <c r="I453" s="68">
        <f>F453*G453</f>
        <v/>
      </c>
      <c r="J453" s="68">
        <f>SUM(H453:I453)</f>
        <v/>
      </c>
      <c r="K453" s="43" t="n"/>
    </row>
    <row r="454" hidden="1" ht="29" customHeight="1">
      <c r="A454" s="35" t="n">
        <v>446</v>
      </c>
      <c r="B454" s="35" t="inlineStr">
        <is>
          <t>DD-MDDI-24A</t>
        </is>
      </c>
      <c r="C454" s="36" t="inlineStr">
        <is>
          <t>Pengadaan dan Pemasangan Micro Duct 5/3.5mm, Direct Install, 24 way, untuk Air / Water Blowing kabel FO termasuk connector</t>
        </is>
      </c>
      <c r="D454" s="35" t="inlineStr">
        <is>
          <t>meter</t>
        </is>
      </c>
      <c r="E454" s="37" t="n">
        <v>46271</v>
      </c>
      <c r="F454" s="37" t="n">
        <v>4320</v>
      </c>
      <c r="G454" s="68" t="n"/>
      <c r="H454" s="68">
        <f>E454*G454</f>
        <v/>
      </c>
      <c r="I454" s="68">
        <f>F454*G454</f>
        <v/>
      </c>
      <c r="J454" s="68">
        <f>SUM(H454:I454)</f>
        <v/>
      </c>
      <c r="K454" s="43" t="n"/>
    </row>
    <row r="455" hidden="1" ht="29" customHeight="1">
      <c r="A455" s="35" t="n">
        <v>447</v>
      </c>
      <c r="B455" s="40" t="inlineStr">
        <is>
          <t>M-DD-MDDI-24A</t>
        </is>
      </c>
      <c r="C455" s="36" t="inlineStr">
        <is>
          <t>Pengadaan dan Pemasangan Micro Duct 5/3.5mm, Direct Install, 24 way, untuk Air / Water Blowing kabel FO termasuk connector</t>
        </is>
      </c>
      <c r="D455" s="35" t="inlineStr">
        <is>
          <t>meter</t>
        </is>
      </c>
      <c r="E455" s="37" t="n">
        <v>46271</v>
      </c>
      <c r="F455" s="42" t="n">
        <v>0</v>
      </c>
      <c r="G455" s="68" t="n"/>
      <c r="H455" s="68">
        <f>E455*G455</f>
        <v/>
      </c>
      <c r="I455" s="68">
        <f>F455*G455</f>
        <v/>
      </c>
      <c r="J455" s="68">
        <f>SUM(H455:I455)</f>
        <v/>
      </c>
      <c r="K455" s="43" t="n"/>
    </row>
    <row r="456" hidden="1" ht="29" customHeight="1">
      <c r="A456" s="35" t="n">
        <v>448</v>
      </c>
      <c r="B456" s="40" t="inlineStr">
        <is>
          <t>J-DD-MDDI-24A</t>
        </is>
      </c>
      <c r="C456" s="36" t="inlineStr">
        <is>
          <t>Pengadaan dan Pemasangan Micro Duct 5/3.5mm, Direct Install, 24 way, untuk Air / Water Blowing kabel FO termasuk connector</t>
        </is>
      </c>
      <c r="D456" s="35" t="inlineStr">
        <is>
          <t>meter</t>
        </is>
      </c>
      <c r="E456" s="42" t="n">
        <v>0</v>
      </c>
      <c r="F456" s="37" t="n">
        <v>4320</v>
      </c>
      <c r="G456" s="68" t="n"/>
      <c r="H456" s="68">
        <f>E456*G456</f>
        <v/>
      </c>
      <c r="I456" s="68">
        <f>F456*G456</f>
        <v/>
      </c>
      <c r="J456" s="68">
        <f>SUM(H456:I456)</f>
        <v/>
      </c>
      <c r="K456" s="43" t="n"/>
    </row>
    <row r="457" hidden="1" ht="29" customHeight="1">
      <c r="A457" s="35" t="n">
        <v>449</v>
      </c>
      <c r="B457" s="35" t="inlineStr">
        <is>
          <t>DD-MDDI-1B</t>
        </is>
      </c>
      <c r="C457" s="36" t="inlineStr">
        <is>
          <t>Pengadaan dan Pemasangan Micro Duct 10/8mm, Direct Install, 1 way, untuk Air / Water Blowing kabel FO termasuk connector</t>
        </is>
      </c>
      <c r="D457" s="35" t="inlineStr">
        <is>
          <t>meter</t>
        </is>
      </c>
      <c r="E457" s="37" t="n">
        <v>12014</v>
      </c>
      <c r="F457" s="37" t="n">
        <v>2404</v>
      </c>
      <c r="G457" s="68" t="n"/>
      <c r="H457" s="68">
        <f>E457*G457</f>
        <v/>
      </c>
      <c r="I457" s="68">
        <f>F457*G457</f>
        <v/>
      </c>
      <c r="J457" s="68">
        <f>SUM(H457:I457)</f>
        <v/>
      </c>
      <c r="K457" s="43" t="n"/>
    </row>
    <row r="458" hidden="1" ht="29" customHeight="1">
      <c r="A458" s="35" t="n">
        <v>450</v>
      </c>
      <c r="B458" s="40" t="inlineStr">
        <is>
          <t>M-DD-MDDI-1B</t>
        </is>
      </c>
      <c r="C458" s="36" t="inlineStr">
        <is>
          <t>Pengadaan dan Pemasangan Micro Duct 10/8mm, Direct Install, 1 way, untuk Air / Water Blowing kabel FO termasuk connector</t>
        </is>
      </c>
      <c r="D458" s="35" t="inlineStr">
        <is>
          <t>meter</t>
        </is>
      </c>
      <c r="E458" s="37" t="n">
        <v>12014</v>
      </c>
      <c r="F458" s="42" t="n">
        <v>0</v>
      </c>
      <c r="G458" s="68" t="n"/>
      <c r="H458" s="68">
        <f>E458*G458</f>
        <v/>
      </c>
      <c r="I458" s="68">
        <f>F458*G458</f>
        <v/>
      </c>
      <c r="J458" s="68">
        <f>SUM(H458:I458)</f>
        <v/>
      </c>
      <c r="K458" s="43" t="n"/>
    </row>
    <row r="459" hidden="1" ht="29" customHeight="1">
      <c r="A459" s="35" t="n">
        <v>451</v>
      </c>
      <c r="B459" s="40" t="inlineStr">
        <is>
          <t>J-DD-MDDI-1B</t>
        </is>
      </c>
      <c r="C459" s="36" t="inlineStr">
        <is>
          <t>Pengadaan dan Pemasangan Micro Duct 10/8mm, Direct Install, 1 way, untuk Air / Water Blowing kabel FO termasuk connector</t>
        </is>
      </c>
      <c r="D459" s="35" t="inlineStr">
        <is>
          <t>meter</t>
        </is>
      </c>
      <c r="E459" s="42" t="n">
        <v>0</v>
      </c>
      <c r="F459" s="37" t="n">
        <v>2404</v>
      </c>
      <c r="G459" s="68" t="n"/>
      <c r="H459" s="68">
        <f>E459*G459</f>
        <v/>
      </c>
      <c r="I459" s="68">
        <f>F459*G459</f>
        <v/>
      </c>
      <c r="J459" s="68">
        <f>SUM(H459:I459)</f>
        <v/>
      </c>
      <c r="K459" s="43" t="n"/>
    </row>
    <row r="460" hidden="1" ht="29" customHeight="1">
      <c r="A460" s="35" t="n">
        <v>452</v>
      </c>
      <c r="B460" s="35" t="inlineStr">
        <is>
          <t>DD-MDDI-2B</t>
        </is>
      </c>
      <c r="C460" s="36" t="inlineStr">
        <is>
          <t>Pengadaan dan Pemasangan Micro Duct 10/8mm, Direct Install, 2 way, untuk Air / Water Blowing kabel FO termasuk connector</t>
        </is>
      </c>
      <c r="D460" s="35" t="inlineStr">
        <is>
          <t>meter</t>
        </is>
      </c>
      <c r="E460" s="37" t="n">
        <v>17163</v>
      </c>
      <c r="F460" s="37" t="n">
        <v>2805</v>
      </c>
      <c r="G460" s="68" t="n"/>
      <c r="H460" s="68">
        <f>E460*G460</f>
        <v/>
      </c>
      <c r="I460" s="68">
        <f>F460*G460</f>
        <v/>
      </c>
      <c r="J460" s="68">
        <f>SUM(H460:I460)</f>
        <v/>
      </c>
      <c r="K460" s="43" t="n"/>
    </row>
    <row r="461" hidden="1" ht="29" customHeight="1">
      <c r="A461" s="35" t="n">
        <v>453</v>
      </c>
      <c r="B461" s="40" t="inlineStr">
        <is>
          <t>M-DD-MDDI-2B</t>
        </is>
      </c>
      <c r="C461" s="36" t="inlineStr">
        <is>
          <t>Pengadaan dan Pemasangan Micro Duct 10/8mm, Direct Install, 2 way, untuk Air / Water Blowing kabel FO termasuk connector</t>
        </is>
      </c>
      <c r="D461" s="35" t="inlineStr">
        <is>
          <t>meter</t>
        </is>
      </c>
      <c r="E461" s="37" t="n">
        <v>17163</v>
      </c>
      <c r="F461" s="42" t="n">
        <v>0</v>
      </c>
      <c r="G461" s="68" t="n"/>
      <c r="H461" s="68">
        <f>E461*G461</f>
        <v/>
      </c>
      <c r="I461" s="68">
        <f>F461*G461</f>
        <v/>
      </c>
      <c r="J461" s="68">
        <f>SUM(H461:I461)</f>
        <v/>
      </c>
      <c r="K461" s="43" t="n"/>
    </row>
    <row r="462" hidden="1" ht="29" customHeight="1">
      <c r="A462" s="35" t="n">
        <v>454</v>
      </c>
      <c r="B462" s="40" t="inlineStr">
        <is>
          <t>J-DD-MDDI-2B</t>
        </is>
      </c>
      <c r="C462" s="36" t="inlineStr">
        <is>
          <t>Pengadaan dan Pemasangan Micro Duct 10/8mm, Direct Install, 2 way, untuk Air / Water Blowing kabel FO termasuk connector</t>
        </is>
      </c>
      <c r="D462" s="35" t="inlineStr">
        <is>
          <t>meter</t>
        </is>
      </c>
      <c r="E462" s="42" t="n">
        <v>0</v>
      </c>
      <c r="F462" s="37" t="n">
        <v>2805</v>
      </c>
      <c r="G462" s="68" t="n"/>
      <c r="H462" s="68">
        <f>E462*G462</f>
        <v/>
      </c>
      <c r="I462" s="68">
        <f>F462*G462</f>
        <v/>
      </c>
      <c r="J462" s="68">
        <f>SUM(H462:I462)</f>
        <v/>
      </c>
      <c r="K462" s="43" t="n"/>
    </row>
    <row r="463" hidden="1" ht="29" customHeight="1">
      <c r="A463" s="35" t="n">
        <v>455</v>
      </c>
      <c r="B463" s="35" t="inlineStr">
        <is>
          <t>DD-MDDI-4B</t>
        </is>
      </c>
      <c r="C463" s="36" t="inlineStr">
        <is>
          <t>Pengadaan dan Pemasangan Micro Duct 10/8mm, Direct Install, 4 way, untuk Air / Water Blowing kabel FO termasuk connector</t>
        </is>
      </c>
      <c r="D463" s="35" t="inlineStr">
        <is>
          <t>meter</t>
        </is>
      </c>
      <c r="E463" s="37" t="n">
        <v>30554</v>
      </c>
      <c r="F463" s="37" t="n">
        <v>3206</v>
      </c>
      <c r="G463" s="68" t="n"/>
      <c r="H463" s="68">
        <f>E463*G463</f>
        <v/>
      </c>
      <c r="I463" s="68">
        <f>F463*G463</f>
        <v/>
      </c>
      <c r="J463" s="68">
        <f>SUM(H463:I463)</f>
        <v/>
      </c>
      <c r="K463" s="43" t="n"/>
    </row>
    <row r="464" hidden="1" ht="29" customHeight="1">
      <c r="A464" s="35" t="n">
        <v>456</v>
      </c>
      <c r="B464" s="40" t="inlineStr">
        <is>
          <t>M-DD-MDDI-4B</t>
        </is>
      </c>
      <c r="C464" s="36" t="inlineStr">
        <is>
          <t>Pengadaan dan Pemasangan Micro Duct 10/8mm, Direct Install, 4 way, untuk Air / Water Blowing kabel FO termasuk connector</t>
        </is>
      </c>
      <c r="D464" s="35" t="inlineStr">
        <is>
          <t>meter</t>
        </is>
      </c>
      <c r="E464" s="37" t="n">
        <v>30554</v>
      </c>
      <c r="F464" s="42" t="n">
        <v>0</v>
      </c>
      <c r="G464" s="68" t="n"/>
      <c r="H464" s="68">
        <f>E464*G464</f>
        <v/>
      </c>
      <c r="I464" s="68">
        <f>F464*G464</f>
        <v/>
      </c>
      <c r="J464" s="68">
        <f>SUM(H464:I464)</f>
        <v/>
      </c>
      <c r="K464" s="43" t="n"/>
    </row>
    <row r="465" hidden="1" ht="29" customHeight="1">
      <c r="A465" s="35" t="n">
        <v>457</v>
      </c>
      <c r="B465" s="40" t="inlineStr">
        <is>
          <t>J-DD-MDDI-4B</t>
        </is>
      </c>
      <c r="C465" s="36" t="inlineStr">
        <is>
          <t>Pengadaan dan Pemasangan Micro Duct 10/8mm, Direct Install, 4 way, untuk Air / Water Blowing kabel FO termasuk connector</t>
        </is>
      </c>
      <c r="D465" s="35" t="inlineStr">
        <is>
          <t>meter</t>
        </is>
      </c>
      <c r="E465" s="42" t="n">
        <v>0</v>
      </c>
      <c r="F465" s="37" t="n">
        <v>3206</v>
      </c>
      <c r="G465" s="68" t="n"/>
      <c r="H465" s="68">
        <f>E465*G465</f>
        <v/>
      </c>
      <c r="I465" s="68">
        <f>F465*G465</f>
        <v/>
      </c>
      <c r="J465" s="68">
        <f>SUM(H465:I465)</f>
        <v/>
      </c>
      <c r="K465" s="43" t="n"/>
    </row>
    <row r="466" hidden="1" ht="29" customHeight="1">
      <c r="A466" s="35" t="n">
        <v>458</v>
      </c>
      <c r="B466" s="35" t="inlineStr">
        <is>
          <t>DD-MDDI-7B</t>
        </is>
      </c>
      <c r="C466" s="36" t="inlineStr">
        <is>
          <t>Pengadaan dan Pemasangan Micro Duct 10/8mm, Direct Install, 7 way, untuk Air / Water Blowing kabel FO termasuk connector</t>
        </is>
      </c>
      <c r="D466" s="35" t="inlineStr">
        <is>
          <t>meter</t>
        </is>
      </c>
      <c r="E466" s="37" t="n">
        <v>44728</v>
      </c>
      <c r="F466" s="37" t="n">
        <v>3696</v>
      </c>
      <c r="G466" s="68" t="n"/>
      <c r="H466" s="68">
        <f>E466*G466</f>
        <v/>
      </c>
      <c r="I466" s="68">
        <f>F466*G466</f>
        <v/>
      </c>
      <c r="J466" s="68">
        <f>SUM(H466:I466)</f>
        <v/>
      </c>
      <c r="K466" s="43" t="n"/>
    </row>
    <row r="467" hidden="1" ht="29" customHeight="1">
      <c r="A467" s="35" t="n">
        <v>459</v>
      </c>
      <c r="B467" s="40" t="inlineStr">
        <is>
          <t>M-DD-MDDI-7B</t>
        </is>
      </c>
      <c r="C467" s="36" t="inlineStr">
        <is>
          <t>Pengadaan dan Pemasangan Micro Duct 10/8mm, Direct Install, 7 way, untuk Air / Water Blowing kabel FO termasuk connector</t>
        </is>
      </c>
      <c r="D467" s="35" t="inlineStr">
        <is>
          <t>meter</t>
        </is>
      </c>
      <c r="E467" s="37" t="n">
        <v>44728</v>
      </c>
      <c r="F467" s="42" t="n">
        <v>0</v>
      </c>
      <c r="G467" s="68" t="n"/>
      <c r="H467" s="68">
        <f>E467*G467</f>
        <v/>
      </c>
      <c r="I467" s="68">
        <f>F467*G467</f>
        <v/>
      </c>
      <c r="J467" s="68">
        <f>SUM(H467:I467)</f>
        <v/>
      </c>
      <c r="K467" s="43" t="n"/>
    </row>
    <row r="468" hidden="1" ht="29" customHeight="1">
      <c r="A468" s="35" t="n">
        <v>460</v>
      </c>
      <c r="B468" s="40" t="inlineStr">
        <is>
          <t>J-DD-MDDI-7B</t>
        </is>
      </c>
      <c r="C468" s="36" t="inlineStr">
        <is>
          <t>Pengadaan dan Pemasangan Micro Duct 10/8mm, Direct Install, 7 way, untuk Air / Water Blowing kabel FO termasuk connector</t>
        </is>
      </c>
      <c r="D468" s="35" t="inlineStr">
        <is>
          <t>meter</t>
        </is>
      </c>
      <c r="E468" s="42" t="n">
        <v>0</v>
      </c>
      <c r="F468" s="37" t="n">
        <v>3696</v>
      </c>
      <c r="G468" s="68" t="n"/>
      <c r="H468" s="68">
        <f>E468*G468</f>
        <v/>
      </c>
      <c r="I468" s="68">
        <f>F468*G468</f>
        <v/>
      </c>
      <c r="J468" s="68">
        <f>SUM(H468:I468)</f>
        <v/>
      </c>
      <c r="K468" s="43" t="n"/>
    </row>
    <row r="469" hidden="1" ht="29" customHeight="1">
      <c r="A469" s="35" t="n">
        <v>461</v>
      </c>
      <c r="B469" s="35" t="inlineStr">
        <is>
          <t>DD-MDDI-1C</t>
        </is>
      </c>
      <c r="C469" s="36" t="inlineStr">
        <is>
          <t>Pengadaan dan Pemasangan Micro Duct 12/10mm, Direct Install, 1 way, untuk Air / Water Blowing kabel FO termasuk connector</t>
        </is>
      </c>
      <c r="D469" s="35" t="inlineStr">
        <is>
          <t>meter</t>
        </is>
      </c>
      <c r="E469" s="37" t="n">
        <v>14198</v>
      </c>
      <c r="F469" s="37" t="n">
        <v>3028</v>
      </c>
      <c r="G469" s="68" t="n"/>
      <c r="H469" s="68">
        <f>E469*G469</f>
        <v/>
      </c>
      <c r="I469" s="68">
        <f>F469*G469</f>
        <v/>
      </c>
      <c r="J469" s="68">
        <f>SUM(H469:I469)</f>
        <v/>
      </c>
      <c r="K469" s="43" t="n"/>
    </row>
    <row r="470" hidden="1" ht="29" customHeight="1">
      <c r="A470" s="35" t="n">
        <v>462</v>
      </c>
      <c r="B470" s="40" t="inlineStr">
        <is>
          <t>M-DD-MDDI-1C</t>
        </is>
      </c>
      <c r="C470" s="36" t="inlineStr">
        <is>
          <t>Pengadaan dan Pemasangan Micro Duct 12/10mm, Direct Install, 1 way, untuk Air / Water Blowing kabel FO termasuk connector</t>
        </is>
      </c>
      <c r="D470" s="35" t="inlineStr">
        <is>
          <t>meter</t>
        </is>
      </c>
      <c r="E470" s="37" t="n">
        <v>14198</v>
      </c>
      <c r="F470" s="42" t="n">
        <v>0</v>
      </c>
      <c r="G470" s="68" t="n"/>
      <c r="H470" s="68">
        <f>E470*G470</f>
        <v/>
      </c>
      <c r="I470" s="68">
        <f>F470*G470</f>
        <v/>
      </c>
      <c r="J470" s="68">
        <f>SUM(H470:I470)</f>
        <v/>
      </c>
      <c r="K470" s="43" t="n"/>
    </row>
    <row r="471" hidden="1" ht="29" customHeight="1">
      <c r="A471" s="35" t="n">
        <v>463</v>
      </c>
      <c r="B471" s="40" t="inlineStr">
        <is>
          <t>J-DD-MDDI-1C</t>
        </is>
      </c>
      <c r="C471" s="36" t="inlineStr">
        <is>
          <t>Pengadaan dan Pemasangan Micro Duct 12/10mm, Direct Install, 1 way, untuk Air / Water Blowing kabel FO termasuk connector</t>
        </is>
      </c>
      <c r="D471" s="35" t="inlineStr">
        <is>
          <t>meter</t>
        </is>
      </c>
      <c r="E471" s="42" t="n">
        <v>0</v>
      </c>
      <c r="F471" s="37" t="n">
        <v>3028</v>
      </c>
      <c r="G471" s="68" t="n"/>
      <c r="H471" s="68">
        <f>E471*G471</f>
        <v/>
      </c>
      <c r="I471" s="68">
        <f>F471*G471</f>
        <v/>
      </c>
      <c r="J471" s="68">
        <f>SUM(H471:I471)</f>
        <v/>
      </c>
      <c r="K471" s="43" t="n"/>
    </row>
    <row r="472" hidden="1" ht="29" customHeight="1">
      <c r="A472" s="35" t="n">
        <v>464</v>
      </c>
      <c r="B472" s="35" t="inlineStr">
        <is>
          <t>DD-MDDI-2C</t>
        </is>
      </c>
      <c r="C472" s="36" t="inlineStr">
        <is>
          <t>Pengadaan dan Pemasangan Micro Duct 12/10mm, Direct Install, 2 way, untuk Air / Water Blowing kabel FO termasuk connector</t>
        </is>
      </c>
      <c r="D472" s="35" t="inlineStr">
        <is>
          <t>meter</t>
        </is>
      </c>
      <c r="E472" s="37" t="n">
        <v>20461</v>
      </c>
      <c r="F472" s="37" t="n">
        <v>3473</v>
      </c>
      <c r="G472" s="68" t="n"/>
      <c r="H472" s="68">
        <f>E472*G472</f>
        <v/>
      </c>
      <c r="I472" s="68">
        <f>F472*G472</f>
        <v/>
      </c>
      <c r="J472" s="68">
        <f>SUM(H472:I472)</f>
        <v/>
      </c>
      <c r="K472" s="43" t="n"/>
    </row>
    <row r="473" hidden="1" ht="29" customHeight="1">
      <c r="A473" s="35" t="n">
        <v>465</v>
      </c>
      <c r="B473" s="40" t="inlineStr">
        <is>
          <t>M-DD-MDDI-2C</t>
        </is>
      </c>
      <c r="C473" s="36" t="inlineStr">
        <is>
          <t>Pengadaan dan Pemasangan Micro Duct 12/10mm, Direct Install, 2 way, untuk Air / Water Blowing kabel FO termasuk connector</t>
        </is>
      </c>
      <c r="D473" s="35" t="inlineStr">
        <is>
          <t>meter</t>
        </is>
      </c>
      <c r="E473" s="37" t="n">
        <v>20461</v>
      </c>
      <c r="F473" s="42" t="n">
        <v>0</v>
      </c>
      <c r="G473" s="68" t="n"/>
      <c r="H473" s="68">
        <f>E473*G473</f>
        <v/>
      </c>
      <c r="I473" s="68">
        <f>F473*G473</f>
        <v/>
      </c>
      <c r="J473" s="68">
        <f>SUM(H473:I473)</f>
        <v/>
      </c>
      <c r="K473" s="43" t="n"/>
    </row>
    <row r="474" hidden="1" ht="29" customHeight="1">
      <c r="A474" s="35" t="n">
        <v>466</v>
      </c>
      <c r="B474" s="40" t="inlineStr">
        <is>
          <t>J-DD-MDDI-2C</t>
        </is>
      </c>
      <c r="C474" s="36" t="inlineStr">
        <is>
          <t>Pengadaan dan Pemasangan Micro Duct 12/10mm, Direct Install, 2 way, untuk Air / Water Blowing kabel FO termasuk connector</t>
        </is>
      </c>
      <c r="D474" s="35" t="inlineStr">
        <is>
          <t>meter</t>
        </is>
      </c>
      <c r="E474" s="42" t="n">
        <v>0</v>
      </c>
      <c r="F474" s="37" t="n">
        <v>3473</v>
      </c>
      <c r="G474" s="68" t="n"/>
      <c r="H474" s="68">
        <f>E474*G474</f>
        <v/>
      </c>
      <c r="I474" s="68">
        <f>F474*G474</f>
        <v/>
      </c>
      <c r="J474" s="68">
        <f>SUM(H474:I474)</f>
        <v/>
      </c>
      <c r="K474" s="43" t="n"/>
    </row>
    <row r="475" hidden="1" ht="29" customHeight="1">
      <c r="A475" s="35" t="n">
        <v>467</v>
      </c>
      <c r="B475" s="35" t="inlineStr">
        <is>
          <t>DD-MDDI-4C</t>
        </is>
      </c>
      <c r="C475" s="36" t="inlineStr">
        <is>
          <t>Pengadaan dan Pemasangan Micro Duct 12/10mm, Direct Install, 4 way, untuk Air / Water Blowing kabel FO termasuk connector</t>
        </is>
      </c>
      <c r="D475" s="35" t="inlineStr">
        <is>
          <t>meter</t>
        </is>
      </c>
      <c r="E475" s="37" t="n">
        <v>36666</v>
      </c>
      <c r="F475" s="37" t="n">
        <v>4321</v>
      </c>
      <c r="G475" s="68" t="n"/>
      <c r="H475" s="68">
        <f>E475*G475</f>
        <v/>
      </c>
      <c r="I475" s="68">
        <f>F475*G475</f>
        <v/>
      </c>
      <c r="J475" s="68">
        <f>SUM(H475:I475)</f>
        <v/>
      </c>
      <c r="K475" s="43" t="n"/>
    </row>
    <row r="476" hidden="1" ht="29" customHeight="1">
      <c r="A476" s="35" t="n">
        <v>468</v>
      </c>
      <c r="B476" s="40" t="inlineStr">
        <is>
          <t>M-DD-MDDI-4C</t>
        </is>
      </c>
      <c r="C476" s="36" t="inlineStr">
        <is>
          <t>Pengadaan dan Pemasangan Micro Duct 12/10mm, Direct Install, 4 way, untuk Air / Water Blowing kabel FO termasuk connector</t>
        </is>
      </c>
      <c r="D476" s="35" t="inlineStr">
        <is>
          <t>meter</t>
        </is>
      </c>
      <c r="E476" s="37" t="n">
        <v>36666</v>
      </c>
      <c r="F476" s="42" t="n">
        <v>0</v>
      </c>
      <c r="G476" s="68" t="n"/>
      <c r="H476" s="68">
        <f>E476*G476</f>
        <v/>
      </c>
      <c r="I476" s="68">
        <f>F476*G476</f>
        <v/>
      </c>
      <c r="J476" s="68">
        <f>SUM(H476:I476)</f>
        <v/>
      </c>
      <c r="K476" s="43" t="n"/>
    </row>
    <row r="477" hidden="1" ht="29" customHeight="1">
      <c r="A477" s="35" t="n">
        <v>469</v>
      </c>
      <c r="B477" s="40" t="inlineStr">
        <is>
          <t>J-DD-MDDI-4C</t>
        </is>
      </c>
      <c r="C477" s="36" t="inlineStr">
        <is>
          <t>Pengadaan dan Pemasangan Micro Duct 12/10mm, Direct Install, 4 way, untuk Air / Water Blowing kabel FO termasuk connector</t>
        </is>
      </c>
      <c r="D477" s="35" t="inlineStr">
        <is>
          <t>meter</t>
        </is>
      </c>
      <c r="E477" s="42" t="n">
        <v>0</v>
      </c>
      <c r="F477" s="37" t="n">
        <v>4321</v>
      </c>
      <c r="G477" s="68" t="n"/>
      <c r="H477" s="68">
        <f>E477*G477</f>
        <v/>
      </c>
      <c r="I477" s="68">
        <f>F477*G477</f>
        <v/>
      </c>
      <c r="J477" s="68">
        <f>SUM(H477:I477)</f>
        <v/>
      </c>
      <c r="K477" s="43" t="n"/>
    </row>
    <row r="478" hidden="1" ht="29" customHeight="1">
      <c r="A478" s="35" t="n">
        <v>470</v>
      </c>
      <c r="B478" s="35" t="inlineStr">
        <is>
          <t>DD-MDDI-7C</t>
        </is>
      </c>
      <c r="C478" s="36" t="inlineStr">
        <is>
          <t>Pengadaan dan Pemasangan Micro Duct 12/10mm, Direct Install, 7 way, untuk Air / Water Blowing kabel FO termasuk connector</t>
        </is>
      </c>
      <c r="D478" s="35" t="inlineStr">
        <is>
          <t>meter</t>
        </is>
      </c>
      <c r="E478" s="37" t="n">
        <v>53959</v>
      </c>
      <c r="F478" s="37" t="n">
        <v>4631</v>
      </c>
      <c r="G478" s="68" t="n"/>
      <c r="H478" s="68">
        <f>E478*G478</f>
        <v/>
      </c>
      <c r="I478" s="68">
        <f>F478*G478</f>
        <v/>
      </c>
      <c r="J478" s="68">
        <f>SUM(H478:I478)</f>
        <v/>
      </c>
      <c r="K478" s="43" t="n"/>
    </row>
    <row r="479" hidden="1" ht="29" customHeight="1">
      <c r="A479" s="35" t="n">
        <v>471</v>
      </c>
      <c r="B479" s="40" t="inlineStr">
        <is>
          <t>M-DD-MDDI-7C</t>
        </is>
      </c>
      <c r="C479" s="36" t="inlineStr">
        <is>
          <t>Pengadaan dan Pemasangan Micro Duct 12/10mm, Direct Install, 7 way, untuk Air / Water Blowing kabel FO termasuk connector</t>
        </is>
      </c>
      <c r="D479" s="35" t="inlineStr">
        <is>
          <t>meter</t>
        </is>
      </c>
      <c r="E479" s="37" t="n">
        <v>53959</v>
      </c>
      <c r="F479" s="42" t="n">
        <v>0</v>
      </c>
      <c r="G479" s="68" t="n"/>
      <c r="H479" s="68">
        <f>E479*G479</f>
        <v/>
      </c>
      <c r="I479" s="68">
        <f>F479*G479</f>
        <v/>
      </c>
      <c r="J479" s="68">
        <f>SUM(H479:I479)</f>
        <v/>
      </c>
      <c r="K479" s="43" t="n"/>
    </row>
    <row r="480" hidden="1" ht="29" customHeight="1">
      <c r="A480" s="35" t="n">
        <v>472</v>
      </c>
      <c r="B480" s="40" t="inlineStr">
        <is>
          <t>J-DD-MDDI-7C</t>
        </is>
      </c>
      <c r="C480" s="36" t="inlineStr">
        <is>
          <t>Pengadaan dan Pemasangan Micro Duct 12/10mm, Direct Install, 7 way, untuk Air / Water Blowing kabel FO termasuk connector</t>
        </is>
      </c>
      <c r="D480" s="35" t="inlineStr">
        <is>
          <t>meter</t>
        </is>
      </c>
      <c r="E480" s="42" t="n">
        <v>0</v>
      </c>
      <c r="F480" s="37" t="n">
        <v>4631</v>
      </c>
      <c r="G480" s="68" t="n"/>
      <c r="H480" s="68">
        <f>E480*G480</f>
        <v/>
      </c>
      <c r="I480" s="68">
        <f>F480*G480</f>
        <v/>
      </c>
      <c r="J480" s="68">
        <f>SUM(H480:I480)</f>
        <v/>
      </c>
      <c r="K480" s="43" t="n"/>
    </row>
    <row r="481" hidden="1" ht="29" customHeight="1">
      <c r="A481" s="35" t="n">
        <v>473</v>
      </c>
      <c r="B481" s="35" t="inlineStr">
        <is>
          <t>DD-MDDI-1D</t>
        </is>
      </c>
      <c r="C481" s="36" t="inlineStr">
        <is>
          <t>Pengadaan dan Pemasangan Micro Duct 16/14mm, Direct Install, 1 way, untuk Air / Water Blowing kabel FO termasuk connector</t>
        </is>
      </c>
      <c r="D481" s="35" t="inlineStr">
        <is>
          <t>meter</t>
        </is>
      </c>
      <c r="E481" s="37" t="n">
        <v>15643</v>
      </c>
      <c r="F481" s="37" t="n">
        <v>2880</v>
      </c>
      <c r="G481" s="68" t="n"/>
      <c r="H481" s="68">
        <f>E481*G481</f>
        <v/>
      </c>
      <c r="I481" s="68">
        <f>F481*G481</f>
        <v/>
      </c>
      <c r="J481" s="68">
        <f>SUM(H481:I481)</f>
        <v/>
      </c>
      <c r="K481" s="43" t="n"/>
    </row>
    <row r="482" hidden="1" ht="29" customHeight="1">
      <c r="A482" s="35" t="n">
        <v>474</v>
      </c>
      <c r="B482" s="40" t="inlineStr">
        <is>
          <t>M-DD-MDDI-1D</t>
        </is>
      </c>
      <c r="C482" s="36" t="inlineStr">
        <is>
          <t>Pengadaan dan Pemasangan Micro Duct 16/14mm, Direct Install, 1 way, untuk Air / Water Blowing kabel FO termasuk connector</t>
        </is>
      </c>
      <c r="D482" s="35" t="inlineStr">
        <is>
          <t>meter</t>
        </is>
      </c>
      <c r="E482" s="37" t="n">
        <v>15643</v>
      </c>
      <c r="F482" s="42" t="n">
        <v>0</v>
      </c>
      <c r="G482" s="68" t="n"/>
      <c r="H482" s="68">
        <f>E482*G482</f>
        <v/>
      </c>
      <c r="I482" s="68">
        <f>F482*G482</f>
        <v/>
      </c>
      <c r="J482" s="68">
        <f>SUM(H482:I482)</f>
        <v/>
      </c>
      <c r="K482" s="43" t="n"/>
    </row>
    <row r="483" hidden="1" ht="29" customHeight="1">
      <c r="A483" s="35" t="n">
        <v>475</v>
      </c>
      <c r="B483" s="40" t="inlineStr">
        <is>
          <t>J-DD-MDDI-1D</t>
        </is>
      </c>
      <c r="C483" s="36" t="inlineStr">
        <is>
          <t>Pengadaan dan Pemasangan Micro Duct 16/14mm, Direct Install, 1 way, untuk Air / Water Blowing kabel FO termasuk connector</t>
        </is>
      </c>
      <c r="D483" s="35" t="inlineStr">
        <is>
          <t>meter</t>
        </is>
      </c>
      <c r="E483" s="42" t="n">
        <v>0</v>
      </c>
      <c r="F483" s="37" t="n">
        <v>2880</v>
      </c>
      <c r="G483" s="68" t="n"/>
      <c r="H483" s="68">
        <f>E483*G483</f>
        <v/>
      </c>
      <c r="I483" s="68">
        <f>F483*G483</f>
        <v/>
      </c>
      <c r="J483" s="68">
        <f>SUM(H483:I483)</f>
        <v/>
      </c>
      <c r="K483" s="43" t="n"/>
    </row>
    <row r="484" hidden="1" ht="29" customHeight="1">
      <c r="A484" s="35" t="n">
        <v>476</v>
      </c>
      <c r="B484" s="35" t="inlineStr">
        <is>
          <t>DD-MDDI-2D</t>
        </is>
      </c>
      <c r="C484" s="36" t="inlineStr">
        <is>
          <t>Pengadaan dan Pemasangan Micro Duct 16/14mm, Direct Install, 2 way, untuk Air / Water Blowing kabel FO termasuk connector</t>
        </is>
      </c>
      <c r="D484" s="35" t="inlineStr">
        <is>
          <t>meter</t>
        </is>
      </c>
      <c r="E484" s="37" t="n">
        <v>22544</v>
      </c>
      <c r="F484" s="37" t="n">
        <v>3304</v>
      </c>
      <c r="G484" s="68" t="n"/>
      <c r="H484" s="68">
        <f>E484*G484</f>
        <v/>
      </c>
      <c r="I484" s="68">
        <f>F484*G484</f>
        <v/>
      </c>
      <c r="J484" s="68">
        <f>SUM(H484:I484)</f>
        <v/>
      </c>
      <c r="K484" s="43" t="n"/>
    </row>
    <row r="485" hidden="1" ht="29" customHeight="1">
      <c r="A485" s="35" t="n">
        <v>477</v>
      </c>
      <c r="B485" s="40" t="inlineStr">
        <is>
          <t>M-DD-MDDI-2D</t>
        </is>
      </c>
      <c r="C485" s="36" t="inlineStr">
        <is>
          <t>Pengadaan dan Pemasangan Micro Duct 16/14mm, Direct Install, 2 way, untuk Air / Water Blowing kabel FO termasuk connector</t>
        </is>
      </c>
      <c r="D485" s="35" t="inlineStr">
        <is>
          <t>meter</t>
        </is>
      </c>
      <c r="E485" s="37" t="n">
        <v>22544</v>
      </c>
      <c r="F485" s="42" t="n">
        <v>0</v>
      </c>
      <c r="G485" s="68" t="n"/>
      <c r="H485" s="68">
        <f>E485*G485</f>
        <v/>
      </c>
      <c r="I485" s="68">
        <f>F485*G485</f>
        <v/>
      </c>
      <c r="J485" s="68">
        <f>SUM(H485:I485)</f>
        <v/>
      </c>
      <c r="K485" s="43" t="n"/>
    </row>
    <row r="486" hidden="1" ht="29" customHeight="1">
      <c r="A486" s="35" t="n">
        <v>478</v>
      </c>
      <c r="B486" s="40" t="inlineStr">
        <is>
          <t>J-DD-MDDI-2D</t>
        </is>
      </c>
      <c r="C486" s="36" t="inlineStr">
        <is>
          <t>Pengadaan dan Pemasangan Micro Duct 16/14mm, Direct Install, 2 way, untuk Air / Water Blowing kabel FO termasuk connector</t>
        </is>
      </c>
      <c r="D486" s="35" t="inlineStr">
        <is>
          <t>meter</t>
        </is>
      </c>
      <c r="E486" s="42" t="n">
        <v>0</v>
      </c>
      <c r="F486" s="37" t="n">
        <v>3304</v>
      </c>
      <c r="G486" s="68" t="n"/>
      <c r="H486" s="68">
        <f>E486*G486</f>
        <v/>
      </c>
      <c r="I486" s="68">
        <f>F486*G486</f>
        <v/>
      </c>
      <c r="J486" s="68">
        <f>SUM(H486:I486)</f>
        <v/>
      </c>
      <c r="K486" s="43" t="n"/>
    </row>
    <row r="487" hidden="1" ht="29" customHeight="1">
      <c r="A487" s="35" t="n">
        <v>479</v>
      </c>
      <c r="B487" s="35" t="inlineStr">
        <is>
          <t>DD-MDDB-1A</t>
        </is>
      </c>
      <c r="C487" s="36" t="inlineStr">
        <is>
          <t>Pengadaan dan Pemasangan Micro Duct 5/3.5mm, Direct Buried, 1 way, untuk Air / Water Blowing kabel FO termasuk connector</t>
        </is>
      </c>
      <c r="D487" s="35" t="inlineStr">
        <is>
          <t>meter</t>
        </is>
      </c>
      <c r="E487" s="37" t="n">
        <v>14781</v>
      </c>
      <c r="F487" s="37" t="n">
        <v>2730</v>
      </c>
      <c r="G487" s="68" t="n"/>
      <c r="H487" s="68">
        <f>E487*G487</f>
        <v/>
      </c>
      <c r="I487" s="68">
        <f>F487*G487</f>
        <v/>
      </c>
      <c r="J487" s="68">
        <f>SUM(H487:I487)</f>
        <v/>
      </c>
      <c r="K487" s="43" t="n"/>
    </row>
    <row r="488" hidden="1" ht="29" customHeight="1">
      <c r="A488" s="35" t="n">
        <v>480</v>
      </c>
      <c r="B488" s="40" t="inlineStr">
        <is>
          <t>M-DD-MDDB-1A</t>
        </is>
      </c>
      <c r="C488" s="36" t="inlineStr">
        <is>
          <t>Pengadaan dan Pemasangan Micro Duct 5/3.5mm, Direct Buried, 1 way, untuk Air / Water Blowing kabel FO termasuk connector</t>
        </is>
      </c>
      <c r="D488" s="35" t="inlineStr">
        <is>
          <t>meter</t>
        </is>
      </c>
      <c r="E488" s="37" t="n">
        <v>14781</v>
      </c>
      <c r="F488" s="42" t="n">
        <v>0</v>
      </c>
      <c r="G488" s="68" t="n"/>
      <c r="H488" s="68">
        <f>E488*G488</f>
        <v/>
      </c>
      <c r="I488" s="68">
        <f>F488*G488</f>
        <v/>
      </c>
      <c r="J488" s="68">
        <f>SUM(H488:I488)</f>
        <v/>
      </c>
      <c r="K488" s="43" t="n"/>
    </row>
    <row r="489" hidden="1" ht="29" customHeight="1">
      <c r="A489" s="35" t="n">
        <v>481</v>
      </c>
      <c r="B489" s="40" t="inlineStr">
        <is>
          <t>J-DD-MDDB-1A</t>
        </is>
      </c>
      <c r="C489" s="36" t="inlineStr">
        <is>
          <t>Pengadaan dan Pemasangan Micro Duct 5/3.5mm, Direct Buried, 1 way, untuk Air / Water Blowing kabel FO termasuk connector</t>
        </is>
      </c>
      <c r="D489" s="35" t="inlineStr">
        <is>
          <t>meter</t>
        </is>
      </c>
      <c r="E489" s="42" t="n">
        <v>0</v>
      </c>
      <c r="F489" s="37" t="n">
        <v>2730</v>
      </c>
      <c r="G489" s="68" t="n"/>
      <c r="H489" s="68">
        <f>E489*G489</f>
        <v/>
      </c>
      <c r="I489" s="68">
        <f>F489*G489</f>
        <v/>
      </c>
      <c r="J489" s="68">
        <f>SUM(H489:I489)</f>
        <v/>
      </c>
      <c r="K489" s="43" t="n"/>
    </row>
    <row r="490" hidden="1" ht="29" customHeight="1">
      <c r="A490" s="35" t="n">
        <v>482</v>
      </c>
      <c r="B490" s="35" t="inlineStr">
        <is>
          <t>DD-MDDB-2A</t>
        </is>
      </c>
      <c r="C490" s="36" t="inlineStr">
        <is>
          <t>Pengadaan dan Pemasangan Micro Duct 5/3.5mm, Direct Buried, 2 way, untuk Air / Water Blowing kabel FO termasuk connector</t>
        </is>
      </c>
      <c r="D490" s="35" t="inlineStr">
        <is>
          <t>meter</t>
        </is>
      </c>
      <c r="E490" s="37" t="n">
        <v>17475</v>
      </c>
      <c r="F490" s="37" t="n">
        <v>3592</v>
      </c>
      <c r="G490" s="68" t="n"/>
      <c r="H490" s="68">
        <f>E490*G490</f>
        <v/>
      </c>
      <c r="I490" s="68">
        <f>F490*G490</f>
        <v/>
      </c>
      <c r="J490" s="68">
        <f>SUM(H490:I490)</f>
        <v/>
      </c>
      <c r="K490" s="43" t="n"/>
    </row>
    <row r="491" hidden="1" ht="29" customHeight="1">
      <c r="A491" s="35" t="n">
        <v>483</v>
      </c>
      <c r="B491" s="40" t="inlineStr">
        <is>
          <t>M-DD-MDDB-2A</t>
        </is>
      </c>
      <c r="C491" s="36" t="inlineStr">
        <is>
          <t>Pengadaan dan Pemasangan Micro Duct 5/3.5mm, Direct Buried, 2 way, untuk Air / Water Blowing kabel FO termasuk connector</t>
        </is>
      </c>
      <c r="D491" s="35" t="inlineStr">
        <is>
          <t>meter</t>
        </is>
      </c>
      <c r="E491" s="37" t="n">
        <v>17475</v>
      </c>
      <c r="F491" s="42" t="n">
        <v>0</v>
      </c>
      <c r="G491" s="68" t="n"/>
      <c r="H491" s="68">
        <f>E491*G491</f>
        <v/>
      </c>
      <c r="I491" s="68">
        <f>F491*G491</f>
        <v/>
      </c>
      <c r="J491" s="68">
        <f>SUM(H491:I491)</f>
        <v/>
      </c>
      <c r="K491" s="43" t="n"/>
    </row>
    <row r="492" hidden="1" ht="29" customHeight="1">
      <c r="A492" s="35" t="n">
        <v>484</v>
      </c>
      <c r="B492" s="40" t="inlineStr">
        <is>
          <t>J-DD-MDDB-2A</t>
        </is>
      </c>
      <c r="C492" s="36" t="inlineStr">
        <is>
          <t>Pengadaan dan Pemasangan Micro Duct 5/3.5mm, Direct Buried, 2 way, untuk Air / Water Blowing kabel FO termasuk connector</t>
        </is>
      </c>
      <c r="D492" s="35" t="inlineStr">
        <is>
          <t>meter</t>
        </is>
      </c>
      <c r="E492" s="42" t="n">
        <v>0</v>
      </c>
      <c r="F492" s="37" t="n">
        <v>3592</v>
      </c>
      <c r="G492" s="68" t="n"/>
      <c r="H492" s="68">
        <f>E492*G492</f>
        <v/>
      </c>
      <c r="I492" s="68">
        <f>F492*G492</f>
        <v/>
      </c>
      <c r="J492" s="68">
        <f>SUM(H492:I492)</f>
        <v/>
      </c>
      <c r="K492" s="43" t="n"/>
    </row>
    <row r="493" hidden="1" ht="29" customHeight="1">
      <c r="A493" s="35" t="n">
        <v>485</v>
      </c>
      <c r="B493" s="35" t="inlineStr">
        <is>
          <t>DD-MDDB-4A</t>
        </is>
      </c>
      <c r="C493" s="36" t="inlineStr">
        <is>
          <t>Pengadaan dan Pemasangan Micro Duct 5/3.5mm, Direct Buried, 4 way, untuk Air / Water Blowing kabel FO termasuk connector</t>
        </is>
      </c>
      <c r="D493" s="35" t="inlineStr">
        <is>
          <t>meter</t>
        </is>
      </c>
      <c r="E493" s="37" t="n">
        <v>24964</v>
      </c>
      <c r="F493" s="37" t="n">
        <v>4115</v>
      </c>
      <c r="G493" s="68" t="n"/>
      <c r="H493" s="68">
        <f>E493*G493</f>
        <v/>
      </c>
      <c r="I493" s="68">
        <f>F493*G493</f>
        <v/>
      </c>
      <c r="J493" s="68">
        <f>SUM(H493:I493)</f>
        <v/>
      </c>
      <c r="K493" s="43" t="n"/>
    </row>
    <row r="494" hidden="1" ht="29" customHeight="1">
      <c r="A494" s="35" t="n">
        <v>486</v>
      </c>
      <c r="B494" s="40" t="inlineStr">
        <is>
          <t>M-DD-MDDB-4A</t>
        </is>
      </c>
      <c r="C494" s="36" t="inlineStr">
        <is>
          <t>Pengadaan dan Pemasangan Micro Duct 5/3.5mm, Direct Buried, 4 way, untuk Air / Water Blowing kabel FO termasuk connector</t>
        </is>
      </c>
      <c r="D494" s="35" t="inlineStr">
        <is>
          <t>meter</t>
        </is>
      </c>
      <c r="E494" s="37" t="n">
        <v>24964</v>
      </c>
      <c r="F494" s="42" t="n">
        <v>0</v>
      </c>
      <c r="G494" s="68" t="n"/>
      <c r="H494" s="68">
        <f>E494*G494</f>
        <v/>
      </c>
      <c r="I494" s="68">
        <f>F494*G494</f>
        <v/>
      </c>
      <c r="J494" s="68">
        <f>SUM(H494:I494)</f>
        <v/>
      </c>
      <c r="K494" s="43" t="n"/>
    </row>
    <row r="495" hidden="1" ht="29" customHeight="1">
      <c r="A495" s="35" t="n">
        <v>487</v>
      </c>
      <c r="B495" s="40" t="inlineStr">
        <is>
          <t>J-DD-MDDB-4A</t>
        </is>
      </c>
      <c r="C495" s="36" t="inlineStr">
        <is>
          <t>Pengadaan dan Pemasangan Micro Duct 5/3.5mm, Direct Buried, 4 way, untuk Air / Water Blowing kabel FO termasuk connector</t>
        </is>
      </c>
      <c r="D495" s="35" t="inlineStr">
        <is>
          <t>meter</t>
        </is>
      </c>
      <c r="E495" s="42" t="n">
        <v>0</v>
      </c>
      <c r="F495" s="37" t="n">
        <v>4115</v>
      </c>
      <c r="G495" s="68" t="n"/>
      <c r="H495" s="68">
        <f>E495*G495</f>
        <v/>
      </c>
      <c r="I495" s="68">
        <f>F495*G495</f>
        <v/>
      </c>
      <c r="J495" s="68">
        <f>SUM(H495:I495)</f>
        <v/>
      </c>
      <c r="K495" s="43" t="n"/>
    </row>
    <row r="496" hidden="1" ht="29" customHeight="1">
      <c r="A496" s="35" t="n">
        <v>488</v>
      </c>
      <c r="B496" s="35" t="inlineStr">
        <is>
          <t>DD-MDDB-7A</t>
        </is>
      </c>
      <c r="C496" s="36" t="inlineStr">
        <is>
          <t>Pengadaan dan Pemasangan Micro Duct 5/3.5mm, Direct Buried,7 way, untuk Air / Water Blowing kabel FO termasuk connector</t>
        </is>
      </c>
      <c r="D496" s="35" t="inlineStr">
        <is>
          <t>meter</t>
        </is>
      </c>
      <c r="E496" s="37" t="n">
        <v>32328</v>
      </c>
      <c r="F496" s="37" t="n">
        <v>4147</v>
      </c>
      <c r="G496" s="68" t="n"/>
      <c r="H496" s="68">
        <f>E496*G496</f>
        <v/>
      </c>
      <c r="I496" s="68">
        <f>F496*G496</f>
        <v/>
      </c>
      <c r="J496" s="68">
        <f>SUM(H496:I496)</f>
        <v/>
      </c>
      <c r="K496" s="43" t="n"/>
    </row>
    <row r="497" hidden="1" ht="29" customHeight="1">
      <c r="A497" s="35" t="n">
        <v>489</v>
      </c>
      <c r="B497" s="40" t="inlineStr">
        <is>
          <t>M-DD-MDDB-7A</t>
        </is>
      </c>
      <c r="C497" s="36" t="inlineStr">
        <is>
          <t>Pengadaan dan Pemasangan Micro Duct 5/3.5mm, Direct Buried,7 way, untuk Air / Water Blowing kabel FO termasuk connector</t>
        </is>
      </c>
      <c r="D497" s="35" t="inlineStr">
        <is>
          <t>meter</t>
        </is>
      </c>
      <c r="E497" s="37" t="n">
        <v>32328</v>
      </c>
      <c r="F497" s="42" t="n">
        <v>0</v>
      </c>
      <c r="G497" s="68" t="n"/>
      <c r="H497" s="68">
        <f>E497*G497</f>
        <v/>
      </c>
      <c r="I497" s="68">
        <f>F497*G497</f>
        <v/>
      </c>
      <c r="J497" s="68">
        <f>SUM(H497:I497)</f>
        <v/>
      </c>
      <c r="K497" s="43" t="n"/>
    </row>
    <row r="498" hidden="1" ht="29" customHeight="1">
      <c r="A498" s="35" t="n">
        <v>490</v>
      </c>
      <c r="B498" s="40" t="inlineStr">
        <is>
          <t>J-DD-MDDB-7A</t>
        </is>
      </c>
      <c r="C498" s="36" t="inlineStr">
        <is>
          <t>Pengadaan dan Pemasangan Micro Duct 5/3.5mm, Direct Buried,7 way, untuk Air / Water Blowing kabel FO termasuk connector</t>
        </is>
      </c>
      <c r="D498" s="35" t="inlineStr">
        <is>
          <t>meter</t>
        </is>
      </c>
      <c r="E498" s="42" t="n">
        <v>0</v>
      </c>
      <c r="F498" s="37" t="n">
        <v>4147</v>
      </c>
      <c r="G498" s="68" t="n"/>
      <c r="H498" s="68">
        <f>E498*G498</f>
        <v/>
      </c>
      <c r="I498" s="68">
        <f>F498*G498</f>
        <v/>
      </c>
      <c r="J498" s="68">
        <f>SUM(H498:I498)</f>
        <v/>
      </c>
      <c r="K498" s="43" t="n"/>
    </row>
    <row r="499" hidden="1" ht="29" customHeight="1">
      <c r="A499" s="35" t="n">
        <v>491</v>
      </c>
      <c r="B499" s="35" t="inlineStr">
        <is>
          <t>DD-MDDB-12A</t>
        </is>
      </c>
      <c r="C499" s="36" t="inlineStr">
        <is>
          <t>Pengadaan dan Pemasangan Micro Duct 5/3.5mm, Direct Buried, 12 way, untuk Air / Water Blowing kabel FO termasuk connector</t>
        </is>
      </c>
      <c r="D499" s="35" t="inlineStr">
        <is>
          <t>meter</t>
        </is>
      </c>
      <c r="E499" s="37" t="n">
        <v>48056</v>
      </c>
      <c r="F499" s="37" t="n">
        <v>4768</v>
      </c>
      <c r="G499" s="68" t="n"/>
      <c r="H499" s="68">
        <f>E499*G499</f>
        <v/>
      </c>
      <c r="I499" s="68">
        <f>F499*G499</f>
        <v/>
      </c>
      <c r="J499" s="68">
        <f>SUM(H499:I499)</f>
        <v/>
      </c>
      <c r="K499" s="43" t="n"/>
    </row>
    <row r="500" hidden="1" ht="29" customHeight="1">
      <c r="A500" s="35" t="n">
        <v>492</v>
      </c>
      <c r="B500" s="40" t="inlineStr">
        <is>
          <t>M-DD-MDDB-12A</t>
        </is>
      </c>
      <c r="C500" s="36" t="inlineStr">
        <is>
          <t>Pengadaan dan Pemasangan Micro Duct 5/3.5mm, Direct Buried, 12 way, untuk Air / Water Blowing kabel FO termasuk connector</t>
        </is>
      </c>
      <c r="D500" s="35" t="inlineStr">
        <is>
          <t>meter</t>
        </is>
      </c>
      <c r="E500" s="37" t="n">
        <v>48056</v>
      </c>
      <c r="F500" s="42" t="n">
        <v>0</v>
      </c>
      <c r="G500" s="68" t="n"/>
      <c r="H500" s="68">
        <f>E500*G500</f>
        <v/>
      </c>
      <c r="I500" s="68">
        <f>F500*G500</f>
        <v/>
      </c>
      <c r="J500" s="68">
        <f>SUM(H500:I500)</f>
        <v/>
      </c>
      <c r="K500" s="43" t="n"/>
    </row>
    <row r="501" hidden="1" ht="29" customHeight="1">
      <c r="A501" s="35" t="n">
        <v>493</v>
      </c>
      <c r="B501" s="40" t="inlineStr">
        <is>
          <t>J-DD-MDDB-12A</t>
        </is>
      </c>
      <c r="C501" s="36" t="inlineStr">
        <is>
          <t>Pengadaan dan Pemasangan Micro Duct 5/3.5mm, Direct Buried, 12 way, untuk Air / Water Blowing kabel FO termasuk connector</t>
        </is>
      </c>
      <c r="D501" s="35" t="inlineStr">
        <is>
          <t>meter</t>
        </is>
      </c>
      <c r="E501" s="42" t="n">
        <v>0</v>
      </c>
      <c r="F501" s="37" t="n">
        <v>4768</v>
      </c>
      <c r="G501" s="68" t="n"/>
      <c r="H501" s="68">
        <f>E501*G501</f>
        <v/>
      </c>
      <c r="I501" s="68">
        <f>F501*G501</f>
        <v/>
      </c>
      <c r="J501" s="68">
        <f>SUM(H501:I501)</f>
        <v/>
      </c>
      <c r="K501" s="43" t="n"/>
    </row>
    <row r="502" hidden="1" ht="29" customHeight="1">
      <c r="A502" s="35" t="n">
        <v>494</v>
      </c>
      <c r="B502" s="35" t="inlineStr">
        <is>
          <t>DD-MDDB-19A</t>
        </is>
      </c>
      <c r="C502" s="36" t="inlineStr">
        <is>
          <t>Pengadaan dan Pemasangan Micro Duct 5/3.5mm, Direct Buried, 19 way, untuk Air / Water Blowing kabel FO termasuk connector</t>
        </is>
      </c>
      <c r="D502" s="35" t="inlineStr">
        <is>
          <t>meter</t>
        </is>
      </c>
      <c r="E502" s="37" t="n">
        <v>61830</v>
      </c>
      <c r="F502" s="37" t="n">
        <v>5551</v>
      </c>
      <c r="G502" s="68" t="n"/>
      <c r="H502" s="68">
        <f>E502*G502</f>
        <v/>
      </c>
      <c r="I502" s="68">
        <f>F502*G502</f>
        <v/>
      </c>
      <c r="J502" s="68">
        <f>SUM(H502:I502)</f>
        <v/>
      </c>
      <c r="K502" s="43" t="n"/>
    </row>
    <row r="503" hidden="1" ht="29" customHeight="1">
      <c r="A503" s="35" t="n">
        <v>495</v>
      </c>
      <c r="B503" s="40" t="inlineStr">
        <is>
          <t>M-DD-MDDB-19A</t>
        </is>
      </c>
      <c r="C503" s="36" t="inlineStr">
        <is>
          <t>Pengadaan dan Pemasangan Micro Duct 5/3.5mm, Direct Buried, 19 way, untuk Air / Water Blowing kabel FO termasuk connector</t>
        </is>
      </c>
      <c r="D503" s="35" t="inlineStr">
        <is>
          <t>meter</t>
        </is>
      </c>
      <c r="E503" s="37" t="n">
        <v>61830</v>
      </c>
      <c r="F503" s="42" t="n">
        <v>0</v>
      </c>
      <c r="G503" s="68" t="n"/>
      <c r="H503" s="68">
        <f>E503*G503</f>
        <v/>
      </c>
      <c r="I503" s="68">
        <f>F503*G503</f>
        <v/>
      </c>
      <c r="J503" s="68">
        <f>SUM(H503:I503)</f>
        <v/>
      </c>
      <c r="K503" s="43" t="n"/>
    </row>
    <row r="504" hidden="1" ht="29" customHeight="1">
      <c r="A504" s="35" t="n">
        <v>496</v>
      </c>
      <c r="B504" s="40" t="inlineStr">
        <is>
          <t>J-DD-MDDB-19A</t>
        </is>
      </c>
      <c r="C504" s="36" t="inlineStr">
        <is>
          <t>Pengadaan dan Pemasangan Micro Duct 5/3.5mm, Direct Buried, 19 way, untuk Air / Water Blowing kabel FO termasuk connector</t>
        </is>
      </c>
      <c r="D504" s="35" t="inlineStr">
        <is>
          <t>meter</t>
        </is>
      </c>
      <c r="E504" s="42" t="n">
        <v>0</v>
      </c>
      <c r="F504" s="37" t="n">
        <v>5551</v>
      </c>
      <c r="G504" s="68" t="n"/>
      <c r="H504" s="68">
        <f>E504*G504</f>
        <v/>
      </c>
      <c r="I504" s="68">
        <f>F504*G504</f>
        <v/>
      </c>
      <c r="J504" s="68">
        <f>SUM(H504:I504)</f>
        <v/>
      </c>
      <c r="K504" s="43" t="n"/>
    </row>
    <row r="505" hidden="1" ht="29" customHeight="1">
      <c r="A505" s="35" t="n">
        <v>497</v>
      </c>
      <c r="B505" s="35" t="inlineStr">
        <is>
          <t>DD-MDDB-24A</t>
        </is>
      </c>
      <c r="C505" s="36" t="inlineStr">
        <is>
          <t>Pengadaan dan Pemasangan Micro Duct 5/3.5mm, Direct Buried, 24 way, untuk Air / Water Blowing kabel FO termasuk connector</t>
        </is>
      </c>
      <c r="D505" s="35" t="inlineStr">
        <is>
          <t>meter</t>
        </is>
      </c>
      <c r="E505" s="37" t="n">
        <v>73644</v>
      </c>
      <c r="F505" s="37" t="n">
        <v>6335</v>
      </c>
      <c r="G505" s="68" t="n"/>
      <c r="H505" s="68">
        <f>E505*G505</f>
        <v/>
      </c>
      <c r="I505" s="68">
        <f>F505*G505</f>
        <v/>
      </c>
      <c r="J505" s="68">
        <f>SUM(H505:I505)</f>
        <v/>
      </c>
      <c r="K505" s="43" t="n"/>
    </row>
    <row r="506" hidden="1" ht="29" customHeight="1">
      <c r="A506" s="35" t="n">
        <v>498</v>
      </c>
      <c r="B506" s="40" t="inlineStr">
        <is>
          <t>M-DD-MDDB-24A</t>
        </is>
      </c>
      <c r="C506" s="36" t="inlineStr">
        <is>
          <t>Pengadaan dan Pemasangan Micro Duct 5/3.5mm, Direct Buried, 24 way, untuk Air / Water Blowing kabel FO termasuk connector</t>
        </is>
      </c>
      <c r="D506" s="35" t="inlineStr">
        <is>
          <t>meter</t>
        </is>
      </c>
      <c r="E506" s="37" t="n">
        <v>73644</v>
      </c>
      <c r="F506" s="42" t="n">
        <v>0</v>
      </c>
      <c r="G506" s="68" t="n"/>
      <c r="H506" s="68">
        <f>E506*G506</f>
        <v/>
      </c>
      <c r="I506" s="68">
        <f>F506*G506</f>
        <v/>
      </c>
      <c r="J506" s="68">
        <f>SUM(H506:I506)</f>
        <v/>
      </c>
      <c r="K506" s="43" t="n"/>
    </row>
    <row r="507" hidden="1" ht="29" customHeight="1">
      <c r="A507" s="35" t="n">
        <v>499</v>
      </c>
      <c r="B507" s="40" t="inlineStr">
        <is>
          <t>J-DD-MDDB-24A</t>
        </is>
      </c>
      <c r="C507" s="36" t="inlineStr">
        <is>
          <t>Pengadaan dan Pemasangan Micro Duct 5/3.5mm, Direct Buried, 24 way, untuk Air / Water Blowing kabel FO termasuk connector</t>
        </is>
      </c>
      <c r="D507" s="35" t="inlineStr">
        <is>
          <t>meter</t>
        </is>
      </c>
      <c r="E507" s="42" t="n">
        <v>0</v>
      </c>
      <c r="F507" s="37" t="n">
        <v>6335</v>
      </c>
      <c r="G507" s="68" t="n"/>
      <c r="H507" s="68">
        <f>E507*G507</f>
        <v/>
      </c>
      <c r="I507" s="68">
        <f>F507*G507</f>
        <v/>
      </c>
      <c r="J507" s="68">
        <f>SUM(H507:I507)</f>
        <v/>
      </c>
      <c r="K507" s="43" t="n"/>
    </row>
    <row r="508" hidden="1" ht="29" customHeight="1">
      <c r="A508" s="35" t="n">
        <v>500</v>
      </c>
      <c r="B508" s="35" t="inlineStr">
        <is>
          <t>DD-MDDB-1B</t>
        </is>
      </c>
      <c r="C508" s="36" t="inlineStr">
        <is>
          <t>Pengadaan dan Pemasangan Micro Duct 10/8mm, Direct Buried, 1 way, untuk Air / Water Blowing kabel FO termasuk connector</t>
        </is>
      </c>
      <c r="D508" s="35" t="inlineStr">
        <is>
          <t>meter</t>
        </is>
      </c>
      <c r="E508" s="37" t="n">
        <v>24959</v>
      </c>
      <c r="F508" s="37" t="n">
        <v>3527</v>
      </c>
      <c r="G508" s="68" t="n"/>
      <c r="H508" s="68">
        <f>E508*G508</f>
        <v/>
      </c>
      <c r="I508" s="68">
        <f>F508*G508</f>
        <v/>
      </c>
      <c r="J508" s="68">
        <f>SUM(H508:I508)</f>
        <v/>
      </c>
      <c r="K508" s="43" t="n"/>
    </row>
    <row r="509" hidden="1" ht="29" customHeight="1">
      <c r="A509" s="35" t="n">
        <v>501</v>
      </c>
      <c r="B509" s="40" t="inlineStr">
        <is>
          <t>M-DD-MDDB-1B</t>
        </is>
      </c>
      <c r="C509" s="36" t="inlineStr">
        <is>
          <t>Pengadaan dan Pemasangan Micro Duct 10/8mm, Direct Buried, 1 way, untuk Air / Water Blowing kabel FO termasuk connector</t>
        </is>
      </c>
      <c r="D509" s="35" t="inlineStr">
        <is>
          <t>meter</t>
        </is>
      </c>
      <c r="E509" s="37" t="n">
        <v>24959</v>
      </c>
      <c r="F509" s="42" t="n">
        <v>0</v>
      </c>
      <c r="G509" s="68" t="n"/>
      <c r="H509" s="68">
        <f>E509*G509</f>
        <v/>
      </c>
      <c r="I509" s="68">
        <f>F509*G509</f>
        <v/>
      </c>
      <c r="J509" s="68">
        <f>SUM(H509:I509)</f>
        <v/>
      </c>
      <c r="K509" s="43" t="n"/>
    </row>
    <row r="510" hidden="1" ht="29" customHeight="1">
      <c r="A510" s="35" t="n">
        <v>502</v>
      </c>
      <c r="B510" s="40" t="inlineStr">
        <is>
          <t>J-DD-MDDB-1B</t>
        </is>
      </c>
      <c r="C510" s="36" t="inlineStr">
        <is>
          <t>Pengadaan dan Pemasangan Micro Duct 10/8mm, Direct Buried, 1 way, untuk Air / Water Blowing kabel FO termasuk connector</t>
        </is>
      </c>
      <c r="D510" s="35" t="inlineStr">
        <is>
          <t>meter</t>
        </is>
      </c>
      <c r="E510" s="42" t="n">
        <v>0</v>
      </c>
      <c r="F510" s="37" t="n">
        <v>3527</v>
      </c>
      <c r="G510" s="68" t="n"/>
      <c r="H510" s="68">
        <f>E510*G510</f>
        <v/>
      </c>
      <c r="I510" s="68">
        <f>F510*G510</f>
        <v/>
      </c>
      <c r="J510" s="68">
        <f>SUM(H510:I510)</f>
        <v/>
      </c>
      <c r="K510" s="43" t="n"/>
    </row>
    <row r="511" hidden="1" ht="29" customHeight="1">
      <c r="A511" s="35" t="n">
        <v>503</v>
      </c>
      <c r="B511" s="35" t="inlineStr">
        <is>
          <t>DD-MDDB-2B</t>
        </is>
      </c>
      <c r="C511" s="36" t="inlineStr">
        <is>
          <t>Pengadaan dan Pemasangan Micro Duct 10/8mm, Direct Buried, 2 way, untuk Air / Water Blowing kabel FO termasuk connector</t>
        </is>
      </c>
      <c r="D511" s="35" t="inlineStr">
        <is>
          <t>meter</t>
        </is>
      </c>
      <c r="E511" s="37" t="n">
        <v>32328</v>
      </c>
      <c r="F511" s="37" t="n">
        <v>4115</v>
      </c>
      <c r="G511" s="68" t="n"/>
      <c r="H511" s="68">
        <f>E511*G511</f>
        <v/>
      </c>
      <c r="I511" s="68">
        <f>F511*G511</f>
        <v/>
      </c>
      <c r="J511" s="68">
        <f>SUM(H511:I511)</f>
        <v/>
      </c>
      <c r="K511" s="43" t="n"/>
    </row>
    <row r="512" hidden="1" ht="29" customHeight="1">
      <c r="A512" s="35" t="n">
        <v>504</v>
      </c>
      <c r="B512" s="40" t="inlineStr">
        <is>
          <t>M-DD-MDDB-2B</t>
        </is>
      </c>
      <c r="C512" s="36" t="inlineStr">
        <is>
          <t>Pengadaan dan Pemasangan Micro Duct 10/8mm, Direct Buried, 2 way, untuk Air / Water Blowing kabel FO termasuk connector</t>
        </is>
      </c>
      <c r="D512" s="35" t="inlineStr">
        <is>
          <t>meter</t>
        </is>
      </c>
      <c r="E512" s="37" t="n">
        <v>32328</v>
      </c>
      <c r="F512" s="42" t="n">
        <v>0</v>
      </c>
      <c r="G512" s="68" t="n"/>
      <c r="H512" s="68">
        <f>E512*G512</f>
        <v/>
      </c>
      <c r="I512" s="68">
        <f>F512*G512</f>
        <v/>
      </c>
      <c r="J512" s="68">
        <f>SUM(H512:I512)</f>
        <v/>
      </c>
      <c r="K512" s="43" t="n"/>
    </row>
    <row r="513" hidden="1" ht="29" customHeight="1">
      <c r="A513" s="35" t="n">
        <v>505</v>
      </c>
      <c r="B513" s="40" t="inlineStr">
        <is>
          <t>J-DD-MDDB-2B</t>
        </is>
      </c>
      <c r="C513" s="36" t="inlineStr">
        <is>
          <t>Pengadaan dan Pemasangan Micro Duct 10/8mm, Direct Buried, 2 way, untuk Air / Water Blowing kabel FO termasuk connector</t>
        </is>
      </c>
      <c r="D513" s="35" t="inlineStr">
        <is>
          <t>meter</t>
        </is>
      </c>
      <c r="E513" s="42" t="n">
        <v>0</v>
      </c>
      <c r="F513" s="37" t="n">
        <v>4115</v>
      </c>
      <c r="G513" s="68" t="n"/>
      <c r="H513" s="68">
        <f>E513*G513</f>
        <v/>
      </c>
      <c r="I513" s="68">
        <f>F513*G513</f>
        <v/>
      </c>
      <c r="J513" s="68">
        <f>SUM(H513:I513)</f>
        <v/>
      </c>
      <c r="K513" s="43" t="n"/>
    </row>
    <row r="514" hidden="1" ht="29" customHeight="1">
      <c r="A514" s="35" t="n">
        <v>506</v>
      </c>
      <c r="B514" s="35" t="inlineStr">
        <is>
          <t>DD-MDDB-4B</t>
        </is>
      </c>
      <c r="C514" s="36" t="inlineStr">
        <is>
          <t>Pengadaan dan Pemasangan Micro Duct 10/8mm, Direct Buried, 4 way, untuk Air / Water Blowing kabel FO termasuk connector</t>
        </is>
      </c>
      <c r="D514" s="35" t="inlineStr">
        <is>
          <t>meter</t>
        </is>
      </c>
      <c r="E514" s="37" t="n">
        <v>57292</v>
      </c>
      <c r="F514" s="37" t="n">
        <v>4702</v>
      </c>
      <c r="G514" s="68" t="n"/>
      <c r="H514" s="68">
        <f>E514*G514</f>
        <v/>
      </c>
      <c r="I514" s="68">
        <f>F514*G514</f>
        <v/>
      </c>
      <c r="J514" s="68">
        <f>SUM(H514:I514)</f>
        <v/>
      </c>
      <c r="K514" s="43" t="n"/>
    </row>
    <row r="515" hidden="1" ht="29" customHeight="1">
      <c r="A515" s="35" t="n">
        <v>507</v>
      </c>
      <c r="B515" s="40" t="inlineStr">
        <is>
          <t>M-DD-MDDB-4B</t>
        </is>
      </c>
      <c r="C515" s="36" t="inlineStr">
        <is>
          <t>Pengadaan dan Pemasangan Micro Duct 10/8mm, Direct Buried, 4 way, untuk Air / Water Blowing kabel FO termasuk connector</t>
        </is>
      </c>
      <c r="D515" s="35" t="inlineStr">
        <is>
          <t>meter</t>
        </is>
      </c>
      <c r="E515" s="37" t="n">
        <v>57292</v>
      </c>
      <c r="F515" s="42" t="n">
        <v>0</v>
      </c>
      <c r="G515" s="68" t="n"/>
      <c r="H515" s="68">
        <f>E515*G515</f>
        <v/>
      </c>
      <c r="I515" s="68">
        <f>F515*G515</f>
        <v/>
      </c>
      <c r="J515" s="68">
        <f>SUM(H515:I515)</f>
        <v/>
      </c>
      <c r="K515" s="43" t="n"/>
    </row>
    <row r="516" hidden="1" ht="29" customHeight="1">
      <c r="A516" s="35" t="n">
        <v>508</v>
      </c>
      <c r="B516" s="40" t="inlineStr">
        <is>
          <t>J-DD-MDDB-4B</t>
        </is>
      </c>
      <c r="C516" s="36" t="inlineStr">
        <is>
          <t>Pengadaan dan Pemasangan Micro Duct 10/8mm, Direct Buried, 4 way, untuk Air / Water Blowing kabel FO termasuk connector</t>
        </is>
      </c>
      <c r="D516" s="35" t="inlineStr">
        <is>
          <t>meter</t>
        </is>
      </c>
      <c r="E516" s="42" t="n">
        <v>0</v>
      </c>
      <c r="F516" s="37" t="n">
        <v>4702</v>
      </c>
      <c r="G516" s="68" t="n"/>
      <c r="H516" s="68">
        <f>E516*G516</f>
        <v/>
      </c>
      <c r="I516" s="68">
        <f>F516*G516</f>
        <v/>
      </c>
      <c r="J516" s="68">
        <f>SUM(H516:I516)</f>
        <v/>
      </c>
      <c r="K516" s="43" t="n"/>
    </row>
    <row r="517" hidden="1" ht="29" customHeight="1">
      <c r="A517" s="35" t="n">
        <v>509</v>
      </c>
      <c r="B517" s="35" t="inlineStr">
        <is>
          <t>DD-MDDB-7B</t>
        </is>
      </c>
      <c r="C517" s="36" t="inlineStr">
        <is>
          <t>Pengadaan dan Pemasangan Micro Duct 10/8mm, Direct Buried, 7 way, untuk Air / Water Blowing kabel FO termasuk connector</t>
        </is>
      </c>
      <c r="D517" s="35" t="inlineStr">
        <is>
          <t>meter</t>
        </is>
      </c>
      <c r="E517" s="37" t="n">
        <v>76388</v>
      </c>
      <c r="F517" s="37" t="n">
        <v>5421</v>
      </c>
      <c r="G517" s="68" t="n"/>
      <c r="H517" s="68">
        <f>E517*G517</f>
        <v/>
      </c>
      <c r="I517" s="68">
        <f>F517*G517</f>
        <v/>
      </c>
      <c r="J517" s="68">
        <f>SUM(H517:I517)</f>
        <v/>
      </c>
      <c r="K517" s="43" t="n"/>
    </row>
    <row r="518" hidden="1" ht="29" customHeight="1">
      <c r="A518" s="35" t="n">
        <v>510</v>
      </c>
      <c r="B518" s="40" t="inlineStr">
        <is>
          <t>M-DD-MDDB-7B</t>
        </is>
      </c>
      <c r="C518" s="36" t="inlineStr">
        <is>
          <t>Pengadaan dan Pemasangan Micro Duct 10/8mm, Direct Buried, 7 way, untuk Air / Water Blowing kabel FO termasuk connector</t>
        </is>
      </c>
      <c r="D518" s="35" t="inlineStr">
        <is>
          <t>meter</t>
        </is>
      </c>
      <c r="E518" s="37" t="n">
        <v>76388</v>
      </c>
      <c r="F518" s="42" t="n">
        <v>0</v>
      </c>
      <c r="G518" s="68" t="n"/>
      <c r="H518" s="68">
        <f>E518*G518</f>
        <v/>
      </c>
      <c r="I518" s="68">
        <f>F518*G518</f>
        <v/>
      </c>
      <c r="J518" s="68">
        <f>SUM(H518:I518)</f>
        <v/>
      </c>
      <c r="K518" s="43" t="n"/>
    </row>
    <row r="519" hidden="1" ht="29" customHeight="1">
      <c r="A519" s="35" t="n">
        <v>511</v>
      </c>
      <c r="B519" s="40" t="inlineStr">
        <is>
          <t>J-DD-MDDB-7B</t>
        </is>
      </c>
      <c r="C519" s="36" t="inlineStr">
        <is>
          <t>Pengadaan dan Pemasangan Micro Duct 10/8mm, Direct Buried, 7 way, untuk Air / Water Blowing kabel FO termasuk connector</t>
        </is>
      </c>
      <c r="D519" s="35" t="inlineStr">
        <is>
          <t>meter</t>
        </is>
      </c>
      <c r="E519" s="42" t="n">
        <v>0</v>
      </c>
      <c r="F519" s="37" t="n">
        <v>5421</v>
      </c>
      <c r="G519" s="68" t="n"/>
      <c r="H519" s="68">
        <f>E519*G519</f>
        <v/>
      </c>
      <c r="I519" s="68">
        <f>F519*G519</f>
        <v/>
      </c>
      <c r="J519" s="68">
        <f>SUM(H519:I519)</f>
        <v/>
      </c>
      <c r="K519" s="43" t="n"/>
    </row>
    <row r="520" hidden="1" ht="29" customHeight="1">
      <c r="A520" s="35" t="n">
        <v>512</v>
      </c>
      <c r="B520" s="35" t="inlineStr">
        <is>
          <t>DD-MDDB-1C</t>
        </is>
      </c>
      <c r="C520" s="36" t="inlineStr">
        <is>
          <t>Pengadaan dan Pemasangan Micro Duct 12/10mm, Direct Buried, 1 way, untuk Air / Water Blowing kabel FO termasuk connector</t>
        </is>
      </c>
      <c r="D520" s="35" t="inlineStr">
        <is>
          <t>meter</t>
        </is>
      </c>
      <c r="E520" s="37" t="n">
        <v>29109</v>
      </c>
      <c r="F520" s="37" t="n">
        <v>4441</v>
      </c>
      <c r="G520" s="68" t="n"/>
      <c r="H520" s="68">
        <f>E520*G520</f>
        <v/>
      </c>
      <c r="I520" s="68">
        <f>F520*G520</f>
        <v/>
      </c>
      <c r="J520" s="68">
        <f>SUM(H520:I520)</f>
        <v/>
      </c>
      <c r="K520" s="43" t="n"/>
    </row>
    <row r="521" hidden="1" ht="29" customHeight="1">
      <c r="A521" s="35" t="n">
        <v>513</v>
      </c>
      <c r="B521" s="40" t="inlineStr">
        <is>
          <t>M-DD-MDDB-1C</t>
        </is>
      </c>
      <c r="C521" s="36" t="inlineStr">
        <is>
          <t>Pengadaan dan Pemasangan Micro Duct 12/10mm, Direct Buried, 1 way, untuk Air / Water Blowing kabel FO termasuk connector</t>
        </is>
      </c>
      <c r="D521" s="35" t="inlineStr">
        <is>
          <t>meter</t>
        </is>
      </c>
      <c r="E521" s="37" t="n">
        <v>29109</v>
      </c>
      <c r="F521" s="42" t="n">
        <v>0</v>
      </c>
      <c r="G521" s="68" t="n"/>
      <c r="H521" s="68">
        <f>E521*G521</f>
        <v/>
      </c>
      <c r="I521" s="68">
        <f>F521*G521</f>
        <v/>
      </c>
      <c r="J521" s="68">
        <f>SUM(H521:I521)</f>
        <v/>
      </c>
      <c r="K521" s="43" t="n"/>
    </row>
    <row r="522" hidden="1" ht="29" customHeight="1">
      <c r="A522" s="35" t="n">
        <v>514</v>
      </c>
      <c r="B522" s="40" t="inlineStr">
        <is>
          <t>J-DD-MDDB-1C</t>
        </is>
      </c>
      <c r="C522" s="36" t="inlineStr">
        <is>
          <t>Pengadaan dan Pemasangan Micro Duct 12/10mm, Direct Buried, 1 way, untuk Air / Water Blowing kabel FO termasuk connector</t>
        </is>
      </c>
      <c r="D522" s="35" t="inlineStr">
        <is>
          <t>meter</t>
        </is>
      </c>
      <c r="E522" s="42" t="n">
        <v>0</v>
      </c>
      <c r="F522" s="37" t="n">
        <v>4441</v>
      </c>
      <c r="G522" s="68" t="n"/>
      <c r="H522" s="68">
        <f>E522*G522</f>
        <v/>
      </c>
      <c r="I522" s="68">
        <f>F522*G522</f>
        <v/>
      </c>
      <c r="J522" s="68">
        <f>SUM(H522:I522)</f>
        <v/>
      </c>
      <c r="K522" s="43" t="n"/>
    </row>
    <row r="523" hidden="1" ht="29" customHeight="1">
      <c r="A523" s="35" t="n">
        <v>515</v>
      </c>
      <c r="B523" s="35" t="inlineStr">
        <is>
          <t>DD-MDDB-2C</t>
        </is>
      </c>
      <c r="C523" s="36" t="inlineStr">
        <is>
          <t>Pengadaan dan Pemasangan Micro Duct 12/10mm, Direct Buried, 2 way, untuk Air / Water Blowing kabel FO termasuk connector</t>
        </is>
      </c>
      <c r="D523" s="35" t="inlineStr">
        <is>
          <t>meter</t>
        </is>
      </c>
      <c r="E523" s="37" t="n">
        <v>38069</v>
      </c>
      <c r="F523" s="37" t="n">
        <v>5095</v>
      </c>
      <c r="G523" s="68" t="n"/>
      <c r="H523" s="68">
        <f>E523*G523</f>
        <v/>
      </c>
      <c r="I523" s="68">
        <f>F523*G523</f>
        <v/>
      </c>
      <c r="J523" s="68">
        <f>SUM(H523:I523)</f>
        <v/>
      </c>
      <c r="K523" s="43" t="n"/>
    </row>
    <row r="524" hidden="1" ht="29" customHeight="1">
      <c r="A524" s="35" t="n">
        <v>516</v>
      </c>
      <c r="B524" s="40" t="inlineStr">
        <is>
          <t>M-DD-MDDB-2C</t>
        </is>
      </c>
      <c r="C524" s="36" t="inlineStr">
        <is>
          <t>Pengadaan dan Pemasangan Micro Duct 12/10mm, Direct Buried, 2 way, untuk Air / Water Blowing kabel FO termasuk connector</t>
        </is>
      </c>
      <c r="D524" s="35" t="inlineStr">
        <is>
          <t>meter</t>
        </is>
      </c>
      <c r="E524" s="37" t="n">
        <v>38069</v>
      </c>
      <c r="F524" s="42" t="n">
        <v>0</v>
      </c>
      <c r="G524" s="68" t="n"/>
      <c r="H524" s="68">
        <f>E524*G524</f>
        <v/>
      </c>
      <c r="I524" s="68">
        <f>F524*G524</f>
        <v/>
      </c>
      <c r="J524" s="68">
        <f>SUM(H524:I524)</f>
        <v/>
      </c>
      <c r="K524" s="43" t="n"/>
    </row>
    <row r="525" hidden="1" ht="29" customHeight="1">
      <c r="A525" s="35" t="n">
        <v>517</v>
      </c>
      <c r="B525" s="40" t="inlineStr">
        <is>
          <t>J-DD-MDDB-2C</t>
        </is>
      </c>
      <c r="C525" s="36" t="inlineStr">
        <is>
          <t>Pengadaan dan Pemasangan Micro Duct 12/10mm, Direct Buried, 2 way, untuk Air / Water Blowing kabel FO termasuk connector</t>
        </is>
      </c>
      <c r="D525" s="35" t="inlineStr">
        <is>
          <t>meter</t>
        </is>
      </c>
      <c r="E525" s="42" t="n">
        <v>0</v>
      </c>
      <c r="F525" s="37" t="n">
        <v>5095</v>
      </c>
      <c r="G525" s="68" t="n"/>
      <c r="H525" s="68">
        <f>E525*G525</f>
        <v/>
      </c>
      <c r="I525" s="68">
        <f>F525*G525</f>
        <v/>
      </c>
      <c r="J525" s="68">
        <f>SUM(H525:I525)</f>
        <v/>
      </c>
      <c r="K525" s="43" t="n"/>
    </row>
    <row r="526" hidden="1" ht="29" customHeight="1">
      <c r="A526" s="35" t="n">
        <v>518</v>
      </c>
      <c r="B526" s="35" t="inlineStr">
        <is>
          <t>DD-MDDB-4C</t>
        </is>
      </c>
      <c r="C526" s="36" t="inlineStr">
        <is>
          <t>Pengadaan dan Pemasangan Micro Duct 12/10mm, Direct Buried, 4 way, untuk Air / Water Blowing kabel FO termasuk connector</t>
        </is>
      </c>
      <c r="D526" s="35" t="inlineStr">
        <is>
          <t>meter</t>
        </is>
      </c>
      <c r="E526" s="37" t="n">
        <v>67777</v>
      </c>
      <c r="F526" s="37" t="n">
        <v>6287</v>
      </c>
      <c r="G526" s="68" t="n"/>
      <c r="H526" s="68">
        <f>E526*G526</f>
        <v/>
      </c>
      <c r="I526" s="68">
        <f>F526*G526</f>
        <v/>
      </c>
      <c r="J526" s="68">
        <f>SUM(H526:I526)</f>
        <v/>
      </c>
      <c r="K526" s="43" t="n"/>
    </row>
    <row r="527" hidden="1" ht="29" customHeight="1">
      <c r="A527" s="35" t="n">
        <v>519</v>
      </c>
      <c r="B527" s="40" t="inlineStr">
        <is>
          <t>M-DD-MDDB-4C</t>
        </is>
      </c>
      <c r="C527" s="36" t="inlineStr">
        <is>
          <t>Pengadaan dan Pemasangan Micro Duct 12/10mm, Direct Buried, 4 way, untuk Air / Water Blowing kabel FO termasuk connector</t>
        </is>
      </c>
      <c r="D527" s="35" t="inlineStr">
        <is>
          <t>meter</t>
        </is>
      </c>
      <c r="E527" s="37" t="n">
        <v>67777</v>
      </c>
      <c r="F527" s="42" t="n">
        <v>0</v>
      </c>
      <c r="G527" s="68" t="n"/>
      <c r="H527" s="68">
        <f>E527*G527</f>
        <v/>
      </c>
      <c r="I527" s="68">
        <f>F527*G527</f>
        <v/>
      </c>
      <c r="J527" s="68">
        <f>SUM(H527:I527)</f>
        <v/>
      </c>
      <c r="K527" s="43" t="n"/>
    </row>
    <row r="528" hidden="1" ht="29" customHeight="1">
      <c r="A528" s="35" t="n">
        <v>520</v>
      </c>
      <c r="B528" s="40" t="inlineStr">
        <is>
          <t>J-DD-MDDB-4C</t>
        </is>
      </c>
      <c r="C528" s="36" t="inlineStr">
        <is>
          <t>Pengadaan dan Pemasangan Micro Duct 12/10mm, Direct Buried, 4 way, untuk Air / Water Blowing kabel FO termasuk connector</t>
        </is>
      </c>
      <c r="D528" s="35" t="inlineStr">
        <is>
          <t>meter</t>
        </is>
      </c>
      <c r="E528" s="42" t="n">
        <v>0</v>
      </c>
      <c r="F528" s="37" t="n">
        <v>6287</v>
      </c>
      <c r="G528" s="68" t="n"/>
      <c r="H528" s="68">
        <f>E528*G528</f>
        <v/>
      </c>
      <c r="I528" s="68">
        <f>F528*G528</f>
        <v/>
      </c>
      <c r="J528" s="68">
        <f>SUM(H528:I528)</f>
        <v/>
      </c>
      <c r="K528" s="43" t="n"/>
    </row>
    <row r="529" hidden="1" ht="29" customHeight="1">
      <c r="A529" s="35" t="n">
        <v>521</v>
      </c>
      <c r="B529" s="35" t="inlineStr">
        <is>
          <t>DD-MDDB-7C</t>
        </is>
      </c>
      <c r="C529" s="36" t="inlineStr">
        <is>
          <t>Pengadaan dan Pemasangan Micro Duct 12/10mm, Direct Buried, 7 way, untuk Air / Water Blowing kabel FO termasuk connector</t>
        </is>
      </c>
      <c r="D529" s="35" t="inlineStr">
        <is>
          <t>meter</t>
        </is>
      </c>
      <c r="E529" s="37" t="n">
        <v>90867</v>
      </c>
      <c r="F529" s="37" t="n">
        <v>6792</v>
      </c>
      <c r="G529" s="68" t="n"/>
      <c r="H529" s="68">
        <f>E529*G529</f>
        <v/>
      </c>
      <c r="I529" s="68">
        <f>F529*G529</f>
        <v/>
      </c>
      <c r="J529" s="68">
        <f>SUM(H529:I529)</f>
        <v/>
      </c>
      <c r="K529" s="43" t="n"/>
    </row>
    <row r="530" hidden="1" ht="29" customHeight="1">
      <c r="A530" s="35" t="n">
        <v>522</v>
      </c>
      <c r="B530" s="40" t="inlineStr">
        <is>
          <t>M-DD-MDDB-7C</t>
        </is>
      </c>
      <c r="C530" s="36" t="inlineStr">
        <is>
          <t>Pengadaan dan Pemasangan Micro Duct 12/10mm, Direct Buried, 7 way, untuk Air / Water Blowing kabel FO termasuk connector</t>
        </is>
      </c>
      <c r="D530" s="35" t="inlineStr">
        <is>
          <t>meter</t>
        </is>
      </c>
      <c r="E530" s="37" t="n">
        <v>90867</v>
      </c>
      <c r="F530" s="42" t="n">
        <v>0</v>
      </c>
      <c r="G530" s="68" t="n"/>
      <c r="H530" s="68">
        <f>E530*G530</f>
        <v/>
      </c>
      <c r="I530" s="68">
        <f>F530*G530</f>
        <v/>
      </c>
      <c r="J530" s="68">
        <f>SUM(H530:I530)</f>
        <v/>
      </c>
      <c r="K530" s="43" t="n"/>
    </row>
    <row r="531" hidden="1" ht="29" customHeight="1">
      <c r="A531" s="35" t="n">
        <v>523</v>
      </c>
      <c r="B531" s="40" t="inlineStr">
        <is>
          <t>J-DD-MDDB-7C</t>
        </is>
      </c>
      <c r="C531" s="36" t="inlineStr">
        <is>
          <t>Pengadaan dan Pemasangan Micro Duct 12/10mm, Direct Buried, 7 way, untuk Air / Water Blowing kabel FO termasuk connector</t>
        </is>
      </c>
      <c r="D531" s="35" t="inlineStr">
        <is>
          <t>meter</t>
        </is>
      </c>
      <c r="E531" s="42" t="n">
        <v>0</v>
      </c>
      <c r="F531" s="37" t="n">
        <v>6792</v>
      </c>
      <c r="G531" s="68" t="n"/>
      <c r="H531" s="68">
        <f>E531*G531</f>
        <v/>
      </c>
      <c r="I531" s="68">
        <f>F531*G531</f>
        <v/>
      </c>
      <c r="J531" s="68">
        <f>SUM(H531:I531)</f>
        <v/>
      </c>
      <c r="K531" s="43" t="n"/>
    </row>
    <row r="532" hidden="1" ht="14.5" customHeight="1">
      <c r="A532" s="35" t="n">
        <v>524</v>
      </c>
      <c r="B532" s="35" t="inlineStr">
        <is>
          <t>DD-MDEC-5/3.5</t>
        </is>
      </c>
      <c r="C532" s="36" t="inlineStr">
        <is>
          <t>Pengadaan dan Pemasangan End Cap 5/3,5 mm</t>
        </is>
      </c>
      <c r="D532" s="35" t="inlineStr">
        <is>
          <t>pcs</t>
        </is>
      </c>
      <c r="E532" s="37" t="n">
        <v>14316</v>
      </c>
      <c r="F532" s="37" t="n">
        <v>520</v>
      </c>
      <c r="G532" s="68" t="n"/>
      <c r="H532" s="68">
        <f>E532*G532</f>
        <v/>
      </c>
      <c r="I532" s="68">
        <f>F532*G532</f>
        <v/>
      </c>
      <c r="J532" s="68">
        <f>SUM(H532:I532)</f>
        <v/>
      </c>
      <c r="K532" s="43" t="n"/>
    </row>
    <row r="533" hidden="1" ht="14.5" customHeight="1">
      <c r="A533" s="35" t="n">
        <v>525</v>
      </c>
      <c r="B533" s="40" t="inlineStr">
        <is>
          <t>M-DD-MDEC-5/3.5</t>
        </is>
      </c>
      <c r="C533" s="36" t="inlineStr">
        <is>
          <t>Pengadaan dan Pemasangan End Cap 5/3,5 mm</t>
        </is>
      </c>
      <c r="D533" s="35" t="inlineStr">
        <is>
          <t>pcs</t>
        </is>
      </c>
      <c r="E533" s="37" t="n">
        <v>14316</v>
      </c>
      <c r="F533" s="42" t="n">
        <v>0</v>
      </c>
      <c r="G533" s="68" t="n"/>
      <c r="H533" s="68">
        <f>E533*G533</f>
        <v/>
      </c>
      <c r="I533" s="68">
        <f>F533*G533</f>
        <v/>
      </c>
      <c r="J533" s="68">
        <f>SUM(H533:I533)</f>
        <v/>
      </c>
      <c r="K533" s="43" t="n"/>
    </row>
    <row r="534" hidden="1" ht="14.5" customHeight="1">
      <c r="A534" s="35" t="n">
        <v>526</v>
      </c>
      <c r="B534" s="40" t="inlineStr">
        <is>
          <t>J-DD-MDEC-5/3.5</t>
        </is>
      </c>
      <c r="C534" s="36" t="inlineStr">
        <is>
          <t>Pengadaan dan Pemasangan End Cap 5/3,5 mm</t>
        </is>
      </c>
      <c r="D534" s="35" t="inlineStr">
        <is>
          <t>pcs</t>
        </is>
      </c>
      <c r="E534" s="42" t="n">
        <v>0</v>
      </c>
      <c r="F534" s="37" t="n">
        <v>520</v>
      </c>
      <c r="G534" s="68" t="n"/>
      <c r="H534" s="68">
        <f>E534*G534</f>
        <v/>
      </c>
      <c r="I534" s="68">
        <f>F534*G534</f>
        <v/>
      </c>
      <c r="J534" s="68">
        <f>SUM(H534:I534)</f>
        <v/>
      </c>
      <c r="K534" s="43" t="n"/>
    </row>
    <row r="535" hidden="1" ht="14.5" customHeight="1">
      <c r="A535" s="35" t="n">
        <v>527</v>
      </c>
      <c r="B535" s="35" t="inlineStr">
        <is>
          <t>DD-MDEC-10/8</t>
        </is>
      </c>
      <c r="C535" s="36" t="inlineStr">
        <is>
          <t>Pengadaan dan Pemasangan End Cap 10/8 mm</t>
        </is>
      </c>
      <c r="D535" s="35" t="inlineStr">
        <is>
          <t>pcs</t>
        </is>
      </c>
      <c r="E535" s="37" t="n">
        <v>14316</v>
      </c>
      <c r="F535" s="37" t="n">
        <v>520</v>
      </c>
      <c r="G535" s="68" t="n"/>
      <c r="H535" s="68">
        <f>E535*G535</f>
        <v/>
      </c>
      <c r="I535" s="68">
        <f>F535*G535</f>
        <v/>
      </c>
      <c r="J535" s="68">
        <f>SUM(H535:I535)</f>
        <v/>
      </c>
      <c r="K535" s="43" t="n"/>
    </row>
    <row r="536" hidden="1" ht="14.5" customHeight="1">
      <c r="A536" s="35" t="n">
        <v>528</v>
      </c>
      <c r="B536" s="40" t="inlineStr">
        <is>
          <t>M-DD-MDEC-10/8</t>
        </is>
      </c>
      <c r="C536" s="36" t="inlineStr">
        <is>
          <t>Pengadaan dan Pemasangan End Cap 10/8 mm</t>
        </is>
      </c>
      <c r="D536" s="35" t="inlineStr">
        <is>
          <t>pcs</t>
        </is>
      </c>
      <c r="E536" s="37" t="n">
        <v>14316</v>
      </c>
      <c r="F536" s="42" t="n">
        <v>0</v>
      </c>
      <c r="G536" s="68" t="n"/>
      <c r="H536" s="68">
        <f>E536*G536</f>
        <v/>
      </c>
      <c r="I536" s="68">
        <f>F536*G536</f>
        <v/>
      </c>
      <c r="J536" s="68">
        <f>SUM(H536:I536)</f>
        <v/>
      </c>
      <c r="K536" s="43" t="n"/>
    </row>
    <row r="537" hidden="1" ht="14.5" customHeight="1">
      <c r="A537" s="35" t="n">
        <v>529</v>
      </c>
      <c r="B537" s="40" t="inlineStr">
        <is>
          <t>J-DD-MDEC-10/8</t>
        </is>
      </c>
      <c r="C537" s="36" t="inlineStr">
        <is>
          <t>Pengadaan dan Pemasangan End Cap 10/8 mm</t>
        </is>
      </c>
      <c r="D537" s="35" t="inlineStr">
        <is>
          <t>pcs</t>
        </is>
      </c>
      <c r="E537" s="42" t="n">
        <v>0</v>
      </c>
      <c r="F537" s="37" t="n">
        <v>520</v>
      </c>
      <c r="G537" s="68" t="n"/>
      <c r="H537" s="68">
        <f>E537*G537</f>
        <v/>
      </c>
      <c r="I537" s="68">
        <f>F537*G537</f>
        <v/>
      </c>
      <c r="J537" s="68">
        <f>SUM(H537:I537)</f>
        <v/>
      </c>
      <c r="K537" s="43" t="n"/>
    </row>
    <row r="538" hidden="1" ht="14.5" customHeight="1">
      <c r="A538" s="35" t="n">
        <v>530</v>
      </c>
      <c r="B538" s="35" t="inlineStr">
        <is>
          <t>DD-MDEC-12/10</t>
        </is>
      </c>
      <c r="C538" s="36" t="inlineStr">
        <is>
          <t>Pengadaan dan Pemasangan End Cap 12/10 mm</t>
        </is>
      </c>
      <c r="D538" s="35" t="inlineStr">
        <is>
          <t>pcs</t>
        </is>
      </c>
      <c r="E538" s="37" t="n">
        <v>14316</v>
      </c>
      <c r="F538" s="37" t="n">
        <v>520</v>
      </c>
      <c r="G538" s="68" t="n"/>
      <c r="H538" s="68">
        <f>E538*G538</f>
        <v/>
      </c>
      <c r="I538" s="68">
        <f>F538*G538</f>
        <v/>
      </c>
      <c r="J538" s="68">
        <f>SUM(H538:I538)</f>
        <v/>
      </c>
      <c r="K538" s="43" t="n"/>
    </row>
    <row r="539" hidden="1" ht="14.5" customHeight="1">
      <c r="A539" s="35" t="n">
        <v>531</v>
      </c>
      <c r="B539" s="40" t="inlineStr">
        <is>
          <t>M-DD-MDEC-12/10</t>
        </is>
      </c>
      <c r="C539" s="36" t="inlineStr">
        <is>
          <t>Pengadaan dan Pemasangan End Cap 12/10 mm</t>
        </is>
      </c>
      <c r="D539" s="35" t="inlineStr">
        <is>
          <t>pcs</t>
        </is>
      </c>
      <c r="E539" s="37" t="n">
        <v>14316</v>
      </c>
      <c r="F539" s="42" t="n">
        <v>0</v>
      </c>
      <c r="G539" s="68" t="n"/>
      <c r="H539" s="68">
        <f>E539*G539</f>
        <v/>
      </c>
      <c r="I539" s="68">
        <f>F539*G539</f>
        <v/>
      </c>
      <c r="J539" s="68">
        <f>SUM(H539:I539)</f>
        <v/>
      </c>
      <c r="K539" s="43" t="n"/>
    </row>
    <row r="540" hidden="1" ht="14.5" customHeight="1">
      <c r="A540" s="35" t="n">
        <v>532</v>
      </c>
      <c r="B540" s="40" t="inlineStr">
        <is>
          <t>J-DD-MDEC-12/10</t>
        </is>
      </c>
      <c r="C540" s="36" t="inlineStr">
        <is>
          <t>Pengadaan dan Pemasangan End Cap 12/10 mm</t>
        </is>
      </c>
      <c r="D540" s="35" t="inlineStr">
        <is>
          <t>pcs</t>
        </is>
      </c>
      <c r="E540" s="42" t="n">
        <v>0</v>
      </c>
      <c r="F540" s="37" t="n">
        <v>520</v>
      </c>
      <c r="G540" s="68" t="n"/>
      <c r="H540" s="68">
        <f>E540*G540</f>
        <v/>
      </c>
      <c r="I540" s="68">
        <f>F540*G540</f>
        <v/>
      </c>
      <c r="J540" s="68">
        <f>SUM(H540:I540)</f>
        <v/>
      </c>
      <c r="K540" s="43" t="n"/>
    </row>
    <row r="541" hidden="1" ht="14.5" customHeight="1">
      <c r="A541" s="35" t="n">
        <v>533</v>
      </c>
      <c r="B541" s="35" t="inlineStr">
        <is>
          <t>FID-28-1</t>
        </is>
      </c>
      <c r="C541" s="36" t="inlineStr">
        <is>
          <t>Fabric Innerduct diameter 28mm 1 polongan</t>
        </is>
      </c>
      <c r="D541" s="35" t="inlineStr">
        <is>
          <t>meter</t>
        </is>
      </c>
      <c r="E541" s="37" t="n">
        <v>22690</v>
      </c>
      <c r="F541" s="37" t="n">
        <v>2018</v>
      </c>
      <c r="G541" s="68" t="n"/>
      <c r="H541" s="68">
        <f>E541*G541</f>
        <v/>
      </c>
      <c r="I541" s="68">
        <f>F541*G541</f>
        <v/>
      </c>
      <c r="J541" s="68">
        <f>SUM(H541:I541)</f>
        <v/>
      </c>
      <c r="K541" s="43" t="n"/>
    </row>
    <row r="542" hidden="1" ht="14.5" customHeight="1">
      <c r="A542" s="35" t="n">
        <v>534</v>
      </c>
      <c r="B542" s="40" t="inlineStr">
        <is>
          <t>M-FID-28-1</t>
        </is>
      </c>
      <c r="C542" s="36" t="inlineStr">
        <is>
          <t>Fabric Innerduct diameter 28mm 1 polongan</t>
        </is>
      </c>
      <c r="D542" s="35" t="inlineStr">
        <is>
          <t>meter</t>
        </is>
      </c>
      <c r="E542" s="37" t="n">
        <v>22690</v>
      </c>
      <c r="F542" s="42" t="n">
        <v>0</v>
      </c>
      <c r="G542" s="68" t="n"/>
      <c r="H542" s="68">
        <f>E542*G542</f>
        <v/>
      </c>
      <c r="I542" s="68">
        <f>F542*G542</f>
        <v/>
      </c>
      <c r="J542" s="68">
        <f>SUM(H542:I542)</f>
        <v/>
      </c>
      <c r="K542" s="43" t="n"/>
    </row>
    <row r="543" hidden="1" ht="14.5" customHeight="1">
      <c r="A543" s="35" t="n">
        <v>535</v>
      </c>
      <c r="B543" s="40" t="inlineStr">
        <is>
          <t>J-FID-28-1</t>
        </is>
      </c>
      <c r="C543" s="36" t="inlineStr">
        <is>
          <t>Fabric Innerduct diameter 28mm 1 polongan</t>
        </is>
      </c>
      <c r="D543" s="35" t="inlineStr">
        <is>
          <t>meter</t>
        </is>
      </c>
      <c r="E543" s="42" t="n">
        <v>0</v>
      </c>
      <c r="F543" s="37" t="n">
        <v>2018</v>
      </c>
      <c r="G543" s="68" t="n"/>
      <c r="H543" s="68">
        <f>E543*G543</f>
        <v/>
      </c>
      <c r="I543" s="68">
        <f>F543*G543</f>
        <v/>
      </c>
      <c r="J543" s="68">
        <f>SUM(H543:I543)</f>
        <v/>
      </c>
      <c r="K543" s="43" t="n"/>
    </row>
    <row r="544" hidden="1" ht="14.5" customHeight="1">
      <c r="A544" s="35" t="n">
        <v>536</v>
      </c>
      <c r="B544" s="35" t="inlineStr">
        <is>
          <t>FID-28-2</t>
        </is>
      </c>
      <c r="C544" s="36" t="inlineStr">
        <is>
          <t>Fabric Innerduct diameter 28mm 2 polongan</t>
        </is>
      </c>
      <c r="D544" s="35" t="inlineStr">
        <is>
          <t>meter</t>
        </is>
      </c>
      <c r="E544" s="37" t="n">
        <v>40842</v>
      </c>
      <c r="F544" s="37" t="n">
        <v>2018</v>
      </c>
      <c r="G544" s="68" t="n"/>
      <c r="H544" s="68">
        <f>E544*G544</f>
        <v/>
      </c>
      <c r="I544" s="68">
        <f>F544*G544</f>
        <v/>
      </c>
      <c r="J544" s="68">
        <f>SUM(H544:I544)</f>
        <v/>
      </c>
      <c r="K544" s="43" t="n"/>
    </row>
    <row r="545" hidden="1" ht="14.5" customHeight="1">
      <c r="A545" s="35" t="n">
        <v>537</v>
      </c>
      <c r="B545" s="40" t="inlineStr">
        <is>
          <t>M-FID-28-2</t>
        </is>
      </c>
      <c r="C545" s="36" t="inlineStr">
        <is>
          <t>Fabric Innerduct diameter 28mm 2 polongan</t>
        </is>
      </c>
      <c r="D545" s="35" t="inlineStr">
        <is>
          <t>meter</t>
        </is>
      </c>
      <c r="E545" s="37" t="n">
        <v>40842</v>
      </c>
      <c r="F545" s="42" t="n">
        <v>0</v>
      </c>
      <c r="G545" s="68" t="n"/>
      <c r="H545" s="68">
        <f>E545*G545</f>
        <v/>
      </c>
      <c r="I545" s="68">
        <f>F545*G545</f>
        <v/>
      </c>
      <c r="J545" s="68">
        <f>SUM(H545:I545)</f>
        <v/>
      </c>
      <c r="K545" s="43" t="n"/>
    </row>
    <row r="546" hidden="1" ht="14.5" customHeight="1">
      <c r="A546" s="35" t="n">
        <v>538</v>
      </c>
      <c r="B546" s="40" t="inlineStr">
        <is>
          <t>J-FID-28-2</t>
        </is>
      </c>
      <c r="C546" s="36" t="inlineStr">
        <is>
          <t>Fabric Innerduct diameter 28mm 2 polongan</t>
        </is>
      </c>
      <c r="D546" s="35" t="inlineStr">
        <is>
          <t>meter</t>
        </is>
      </c>
      <c r="E546" s="42" t="n">
        <v>0</v>
      </c>
      <c r="F546" s="37" t="n">
        <v>2018</v>
      </c>
      <c r="G546" s="68" t="n"/>
      <c r="H546" s="68">
        <f>E546*G546</f>
        <v/>
      </c>
      <c r="I546" s="68">
        <f>F546*G546</f>
        <v/>
      </c>
      <c r="J546" s="68">
        <f>SUM(H546:I546)</f>
        <v/>
      </c>
      <c r="K546" s="43" t="n"/>
    </row>
    <row r="547" hidden="1" ht="14.5" customHeight="1">
      <c r="A547" s="35" t="n">
        <v>539</v>
      </c>
      <c r="B547" s="35" t="inlineStr">
        <is>
          <t>FID-28-3</t>
        </is>
      </c>
      <c r="C547" s="36" t="inlineStr">
        <is>
          <t>Fabric Innerduct diameter 28mm 3 polongan</t>
        </is>
      </c>
      <c r="D547" s="35" t="inlineStr">
        <is>
          <t>meter</t>
        </is>
      </c>
      <c r="E547" s="37" t="n">
        <v>65801</v>
      </c>
      <c r="F547" s="37" t="n">
        <v>2018</v>
      </c>
      <c r="G547" s="68" t="n"/>
      <c r="H547" s="68">
        <f>E547*G547</f>
        <v/>
      </c>
      <c r="I547" s="68">
        <f>F547*G547</f>
        <v/>
      </c>
      <c r="J547" s="68">
        <f>SUM(H547:I547)</f>
        <v/>
      </c>
      <c r="K547" s="43" t="n"/>
    </row>
    <row r="548" hidden="1" ht="14.5" customHeight="1">
      <c r="A548" s="35" t="n">
        <v>540</v>
      </c>
      <c r="B548" s="40" t="inlineStr">
        <is>
          <t>M-FID-28-3</t>
        </is>
      </c>
      <c r="C548" s="36" t="inlineStr">
        <is>
          <t>Fabric Innerduct diameter 28mm 3 polongan</t>
        </is>
      </c>
      <c r="D548" s="35" t="inlineStr">
        <is>
          <t>meter</t>
        </is>
      </c>
      <c r="E548" s="37" t="n">
        <v>65801</v>
      </c>
      <c r="F548" s="42" t="n">
        <v>0</v>
      </c>
      <c r="G548" s="68" t="n"/>
      <c r="H548" s="68">
        <f>E548*G548</f>
        <v/>
      </c>
      <c r="I548" s="68">
        <f>F548*G548</f>
        <v/>
      </c>
      <c r="J548" s="68">
        <f>SUM(H548:I548)</f>
        <v/>
      </c>
      <c r="K548" s="43" t="n"/>
    </row>
    <row r="549" hidden="1" ht="14.5" customHeight="1">
      <c r="A549" s="35" t="n">
        <v>541</v>
      </c>
      <c r="B549" s="40" t="inlineStr">
        <is>
          <t>J-FID-28-3</t>
        </is>
      </c>
      <c r="C549" s="36" t="inlineStr">
        <is>
          <t>Fabric Innerduct diameter 28mm 3 polongan</t>
        </is>
      </c>
      <c r="D549" s="35" t="inlineStr">
        <is>
          <t>meter</t>
        </is>
      </c>
      <c r="E549" s="42" t="n">
        <v>0</v>
      </c>
      <c r="F549" s="37" t="n">
        <v>2018</v>
      </c>
      <c r="G549" s="68" t="n"/>
      <c r="H549" s="68">
        <f>E549*G549</f>
        <v/>
      </c>
      <c r="I549" s="68">
        <f>F549*G549</f>
        <v/>
      </c>
      <c r="J549" s="68">
        <f>SUM(H549:I549)</f>
        <v/>
      </c>
      <c r="K549" s="43" t="n"/>
    </row>
    <row r="550" hidden="1" ht="29" customHeight="1">
      <c r="A550" s="35" t="n">
        <v>542</v>
      </c>
      <c r="B550" s="35" t="inlineStr">
        <is>
          <t>MH-HH1</t>
        </is>
      </c>
      <c r="C550" s="36" t="inlineStr">
        <is>
          <t>Pekerjaan Pembuatan Handhole Type HH1 ukuran dimensi dalam (P X L X T = 170x150x165) cor beton 1 : 2 : 3</t>
        </is>
      </c>
      <c r="D550" s="35" t="inlineStr">
        <is>
          <t>pcs</t>
        </is>
      </c>
      <c r="E550" s="37" t="n">
        <v>6580100</v>
      </c>
      <c r="F550" s="37" t="n">
        <v>2714357</v>
      </c>
      <c r="G550" s="68" t="n"/>
      <c r="H550" s="68">
        <f>E550*G550</f>
        <v/>
      </c>
      <c r="I550" s="68">
        <f>F550*G550</f>
        <v/>
      </c>
      <c r="J550" s="68">
        <f>SUM(H550:I550)</f>
        <v/>
      </c>
      <c r="K550" s="43" t="n"/>
    </row>
    <row r="551" hidden="1" ht="29" customHeight="1">
      <c r="A551" s="35" t="n">
        <v>543</v>
      </c>
      <c r="B551" s="40" t="inlineStr">
        <is>
          <t>M-MH-HH1</t>
        </is>
      </c>
      <c r="C551" s="36" t="inlineStr">
        <is>
          <t>Pekerjaan Pembuatan Handhole Type HH1 ukuran dimensi dalam (P X L X T = 170x150x165) cor beton 1 : 2 : 3</t>
        </is>
      </c>
      <c r="D551" s="35" t="inlineStr">
        <is>
          <t>pcs</t>
        </is>
      </c>
      <c r="E551" s="37" t="n">
        <v>6580100</v>
      </c>
      <c r="F551" s="42" t="n">
        <v>0</v>
      </c>
      <c r="G551" s="68" t="n"/>
      <c r="H551" s="68">
        <f>E551*G551</f>
        <v/>
      </c>
      <c r="I551" s="68">
        <f>F551*G551</f>
        <v/>
      </c>
      <c r="J551" s="68">
        <f>SUM(H551:I551)</f>
        <v/>
      </c>
      <c r="K551" s="43" t="n"/>
    </row>
    <row r="552" hidden="1" ht="29" customHeight="1">
      <c r="A552" s="35" t="n">
        <v>544</v>
      </c>
      <c r="B552" s="40" t="inlineStr">
        <is>
          <t>J-MH-HH1</t>
        </is>
      </c>
      <c r="C552" s="36" t="inlineStr">
        <is>
          <t>Pekerjaan Pembuatan Handhole Type HH1 ukuran dimensi dalam (P X L X T = 170x150x165) cor beton 1 : 2 : 3</t>
        </is>
      </c>
      <c r="D552" s="35" t="inlineStr">
        <is>
          <t>pcs</t>
        </is>
      </c>
      <c r="E552" s="42" t="n">
        <v>0</v>
      </c>
      <c r="F552" s="37" t="n">
        <v>2714357</v>
      </c>
      <c r="G552" s="68" t="n"/>
      <c r="H552" s="68">
        <f>E552*G552</f>
        <v/>
      </c>
      <c r="I552" s="68">
        <f>F552*G552</f>
        <v/>
      </c>
      <c r="J552" s="68">
        <f>SUM(H552:I552)</f>
        <v/>
      </c>
      <c r="K552" s="43" t="n"/>
    </row>
    <row r="553" hidden="1" ht="29" customHeight="1">
      <c r="A553" s="35" t="n">
        <v>545</v>
      </c>
      <c r="B553" s="35" t="inlineStr">
        <is>
          <t>MH-HH2</t>
        </is>
      </c>
      <c r="C553" s="36" t="inlineStr">
        <is>
          <t>Pekerjaan Pembuatan Handhole Type HH2 ukuran dimensi dalam (P X L X T = 120x130x165) cor beton 1 : 2 : 3</t>
        </is>
      </c>
      <c r="D553" s="35" t="inlineStr">
        <is>
          <t>pcs</t>
        </is>
      </c>
      <c r="E553" s="37" t="n">
        <v>4329766</v>
      </c>
      <c r="F553" s="37" t="n">
        <v>2140505</v>
      </c>
      <c r="G553" s="68" t="n"/>
      <c r="H553" s="68">
        <f>E553*G553</f>
        <v/>
      </c>
      <c r="I553" s="68">
        <f>F553*G553</f>
        <v/>
      </c>
      <c r="J553" s="68">
        <f>SUM(H553:I553)</f>
        <v/>
      </c>
      <c r="K553" s="43" t="n"/>
    </row>
    <row r="554" hidden="1" ht="29" customHeight="1">
      <c r="A554" s="35" t="n">
        <v>546</v>
      </c>
      <c r="B554" s="40" t="inlineStr">
        <is>
          <t>M-MH-HH2</t>
        </is>
      </c>
      <c r="C554" s="36" t="inlineStr">
        <is>
          <t>Pekerjaan Pembuatan Handhole Type HH2 ukuran dimensi dalam (P X L X T = 120x130x165) cor beton 1 : 2 : 3</t>
        </is>
      </c>
      <c r="D554" s="35" t="inlineStr">
        <is>
          <t>pcs</t>
        </is>
      </c>
      <c r="E554" s="37" t="n">
        <v>4329766</v>
      </c>
      <c r="F554" s="42" t="n">
        <v>0</v>
      </c>
      <c r="G554" s="68" t="n"/>
      <c r="H554" s="68">
        <f>E554*G554</f>
        <v/>
      </c>
      <c r="I554" s="68">
        <f>F554*G554</f>
        <v/>
      </c>
      <c r="J554" s="68">
        <f>SUM(H554:I554)</f>
        <v/>
      </c>
      <c r="K554" s="43" t="n"/>
    </row>
    <row r="555" hidden="1" ht="29" customHeight="1">
      <c r="A555" s="35" t="n">
        <v>547</v>
      </c>
      <c r="B555" s="40" t="inlineStr">
        <is>
          <t>J-MH-HH2</t>
        </is>
      </c>
      <c r="C555" s="36" t="inlineStr">
        <is>
          <t>Pekerjaan Pembuatan Handhole Type HH2 ukuran dimensi dalam (P X L X T = 120x130x165) cor beton 1 : 2 : 3</t>
        </is>
      </c>
      <c r="D555" s="35" t="inlineStr">
        <is>
          <t>pcs</t>
        </is>
      </c>
      <c r="E555" s="42" t="n">
        <v>0</v>
      </c>
      <c r="F555" s="37" t="n">
        <v>2140505</v>
      </c>
      <c r="G555" s="68" t="n"/>
      <c r="H555" s="68">
        <f>E555*G555</f>
        <v/>
      </c>
      <c r="I555" s="68">
        <f>F555*G555</f>
        <v/>
      </c>
      <c r="J555" s="68">
        <f>SUM(H555:I555)</f>
        <v/>
      </c>
      <c r="K555" s="43" t="n"/>
    </row>
    <row r="556" hidden="1" ht="29" customHeight="1">
      <c r="A556" s="35" t="n">
        <v>548</v>
      </c>
      <c r="B556" s="35" t="inlineStr">
        <is>
          <t>HH-PIT-P-HA</t>
        </is>
      </c>
      <c r="C556" s="36" t="inlineStr">
        <is>
          <t>Pekerjaan Pembuatan HH Pit Portable Home Access beserta aksesorisnya</t>
        </is>
      </c>
      <c r="D556" s="35" t="inlineStr">
        <is>
          <t>pcs</t>
        </is>
      </c>
      <c r="E556" s="37" t="n">
        <v>867461</v>
      </c>
      <c r="F556" s="37" t="n">
        <v>183294</v>
      </c>
      <c r="G556" s="68" t="n"/>
      <c r="H556" s="68">
        <f>E556*G556</f>
        <v/>
      </c>
      <c r="I556" s="68">
        <f>F556*G556</f>
        <v/>
      </c>
      <c r="J556" s="68">
        <f>SUM(H556:I556)</f>
        <v/>
      </c>
      <c r="K556" s="43" t="n"/>
    </row>
    <row r="557" hidden="1" ht="29" customHeight="1">
      <c r="A557" s="35" t="n">
        <v>549</v>
      </c>
      <c r="B557" s="40" t="inlineStr">
        <is>
          <t>M-HH-PIT-P-HA</t>
        </is>
      </c>
      <c r="C557" s="36" t="inlineStr">
        <is>
          <t>Pekerjaan Pembuatan HH Pit Portable Home Access beserta aksesorisnya</t>
        </is>
      </c>
      <c r="D557" s="35" t="inlineStr">
        <is>
          <t>pcs</t>
        </is>
      </c>
      <c r="E557" s="37" t="n">
        <v>867461</v>
      </c>
      <c r="F557" s="42" t="n">
        <v>0</v>
      </c>
      <c r="G557" s="68" t="n"/>
      <c r="H557" s="68">
        <f>E557*G557</f>
        <v/>
      </c>
      <c r="I557" s="68">
        <f>F557*G557</f>
        <v/>
      </c>
      <c r="J557" s="68">
        <f>SUM(H557:I557)</f>
        <v/>
      </c>
      <c r="K557" s="43" t="n"/>
    </row>
    <row r="558" hidden="1" ht="29" customHeight="1">
      <c r="A558" s="35" t="n">
        <v>550</v>
      </c>
      <c r="B558" s="40" t="inlineStr">
        <is>
          <t>J-HH-PIT-P-HA</t>
        </is>
      </c>
      <c r="C558" s="36" t="inlineStr">
        <is>
          <t>Pekerjaan Pembuatan HH Pit Portable Home Access beserta aksesorisnya</t>
        </is>
      </c>
      <c r="D558" s="35" t="inlineStr">
        <is>
          <t>pcs</t>
        </is>
      </c>
      <c r="E558" s="42" t="n">
        <v>0</v>
      </c>
      <c r="F558" s="37" t="n">
        <v>183294</v>
      </c>
      <c r="G558" s="68" t="n"/>
      <c r="H558" s="68">
        <f>E558*G558</f>
        <v/>
      </c>
      <c r="I558" s="68">
        <f>F558*G558</f>
        <v/>
      </c>
      <c r="J558" s="68">
        <f>SUM(H558:I558)</f>
        <v/>
      </c>
      <c r="K558" s="43" t="n"/>
    </row>
    <row r="559" hidden="1" ht="14.5" customHeight="1">
      <c r="A559" s="35" t="n">
        <v>551</v>
      </c>
      <c r="B559" s="35" t="inlineStr">
        <is>
          <t>HH-PIT-P-ODP</t>
        </is>
      </c>
      <c r="C559" s="36" t="inlineStr">
        <is>
          <t>Pekerjaan Pembuatan HH Pit Portable ODP beserta aksesorisnya</t>
        </is>
      </c>
      <c r="D559" s="35" t="inlineStr">
        <is>
          <t>pcs</t>
        </is>
      </c>
      <c r="E559" s="37" t="n">
        <v>2597631</v>
      </c>
      <c r="F559" s="37" t="n">
        <v>273403</v>
      </c>
      <c r="G559" s="68" t="n"/>
      <c r="H559" s="68">
        <f>E559*G559</f>
        <v/>
      </c>
      <c r="I559" s="68">
        <f>F559*G559</f>
        <v/>
      </c>
      <c r="J559" s="68">
        <f>SUM(H559:I559)</f>
        <v/>
      </c>
      <c r="K559" s="43" t="n"/>
    </row>
    <row r="560" hidden="1" ht="14.5" customHeight="1">
      <c r="A560" s="35" t="n">
        <v>552</v>
      </c>
      <c r="B560" s="40" t="inlineStr">
        <is>
          <t>M-HH-PIT-P-ODP</t>
        </is>
      </c>
      <c r="C560" s="36" t="inlineStr">
        <is>
          <t>Pekerjaan Pembuatan HH Pit Portable ODP beserta aksesorisnya</t>
        </is>
      </c>
      <c r="D560" s="35" t="inlineStr">
        <is>
          <t>pcs</t>
        </is>
      </c>
      <c r="E560" s="37" t="n">
        <v>2597631</v>
      </c>
      <c r="F560" s="42" t="n">
        <v>0</v>
      </c>
      <c r="G560" s="68" t="n"/>
      <c r="H560" s="68">
        <f>E560*G560</f>
        <v/>
      </c>
      <c r="I560" s="68">
        <f>F560*G560</f>
        <v/>
      </c>
      <c r="J560" s="68">
        <f>SUM(H560:I560)</f>
        <v/>
      </c>
      <c r="K560" s="43" t="n"/>
    </row>
    <row r="561" hidden="1" ht="14.5" customHeight="1">
      <c r="A561" s="35" t="n">
        <v>553</v>
      </c>
      <c r="B561" s="40" t="inlineStr">
        <is>
          <t>J-HH-PIT-P-ODP</t>
        </is>
      </c>
      <c r="C561" s="36" t="inlineStr">
        <is>
          <t>Pekerjaan Pembuatan HH Pit Portable ODP beserta aksesorisnya</t>
        </is>
      </c>
      <c r="D561" s="35" t="inlineStr">
        <is>
          <t>pcs</t>
        </is>
      </c>
      <c r="E561" s="42" t="n">
        <v>0</v>
      </c>
      <c r="F561" s="37" t="n">
        <v>273403</v>
      </c>
      <c r="G561" s="68" t="n"/>
      <c r="H561" s="68">
        <f>E561*G561</f>
        <v/>
      </c>
      <c r="I561" s="68">
        <f>F561*G561</f>
        <v/>
      </c>
      <c r="J561" s="68">
        <f>SUM(H561:I561)</f>
        <v/>
      </c>
      <c r="K561" s="43" t="n"/>
    </row>
    <row r="562" hidden="1" ht="14.5" customHeight="1">
      <c r="A562" s="35" t="n">
        <v>554</v>
      </c>
      <c r="B562" s="35" t="inlineStr">
        <is>
          <t>HH-PIT-P-ODC</t>
        </is>
      </c>
      <c r="C562" s="36" t="inlineStr">
        <is>
          <t>Pekerjaan Pembuatan HH Pit Portable ODC beserta aksesorisnya</t>
        </is>
      </c>
      <c r="D562" s="35" t="inlineStr">
        <is>
          <t>pcs</t>
        </is>
      </c>
      <c r="E562" s="37" t="n">
        <v>10755060</v>
      </c>
      <c r="F562" s="37" t="n">
        <v>515884</v>
      </c>
      <c r="G562" s="68" t="n"/>
      <c r="H562" s="68">
        <f>E562*G562</f>
        <v/>
      </c>
      <c r="I562" s="68">
        <f>F562*G562</f>
        <v/>
      </c>
      <c r="J562" s="68">
        <f>SUM(H562:I562)</f>
        <v/>
      </c>
      <c r="K562" s="43" t="n"/>
    </row>
    <row r="563" hidden="1" ht="14.5" customHeight="1">
      <c r="A563" s="35" t="n">
        <v>555</v>
      </c>
      <c r="B563" s="40" t="inlineStr">
        <is>
          <t>M-HH-PIT-P-ODC</t>
        </is>
      </c>
      <c r="C563" s="36" t="inlineStr">
        <is>
          <t>Pekerjaan Pembuatan HH Pit Portable ODC beserta aksesorisnya</t>
        </is>
      </c>
      <c r="D563" s="35" t="inlineStr">
        <is>
          <t>pcs</t>
        </is>
      </c>
      <c r="E563" s="37" t="n">
        <v>10755060</v>
      </c>
      <c r="F563" s="42" t="n">
        <v>0</v>
      </c>
      <c r="G563" s="68" t="n"/>
      <c r="H563" s="68">
        <f>E563*G563</f>
        <v/>
      </c>
      <c r="I563" s="68">
        <f>F563*G563</f>
        <v/>
      </c>
      <c r="J563" s="68">
        <f>SUM(H563:I563)</f>
        <v/>
      </c>
      <c r="K563" s="43" t="n"/>
    </row>
    <row r="564" hidden="1" ht="14.5" customHeight="1">
      <c r="A564" s="35" t="n">
        <v>556</v>
      </c>
      <c r="B564" s="40" t="inlineStr">
        <is>
          <t>J-HH-PIT-P-ODC</t>
        </is>
      </c>
      <c r="C564" s="36" t="inlineStr">
        <is>
          <t>Pekerjaan Pembuatan HH Pit Portable ODC beserta aksesorisnya</t>
        </is>
      </c>
      <c r="D564" s="35" t="inlineStr">
        <is>
          <t>pcs</t>
        </is>
      </c>
      <c r="E564" s="42" t="n">
        <v>0</v>
      </c>
      <c r="F564" s="37" t="n">
        <v>515884</v>
      </c>
      <c r="G564" s="68" t="n"/>
      <c r="H564" s="68">
        <f>E564*G564</f>
        <v/>
      </c>
      <c r="I564" s="68">
        <f>F564*G564</f>
        <v/>
      </c>
      <c r="J564" s="68">
        <f>SUM(H564:I564)</f>
        <v/>
      </c>
      <c r="K564" s="43" t="n"/>
    </row>
    <row r="565" hidden="1" ht="29" customHeight="1">
      <c r="A565" s="35" t="n">
        <v>557</v>
      </c>
      <c r="B565" s="35" t="inlineStr">
        <is>
          <t>HH-PIT-80</t>
        </is>
      </c>
      <c r="C565" s="36" t="inlineStr">
        <is>
          <t>Pembuatan Handhole Pit ukuran dimensi dalam (P x L x T = 80cm x 80cm x 80cm) cor beton 1 : 2 : 3</t>
        </is>
      </c>
      <c r="D565" s="35" t="inlineStr">
        <is>
          <t>pcs</t>
        </is>
      </c>
      <c r="E565" s="37" t="n">
        <v>1554265</v>
      </c>
      <c r="F565" s="37" t="n">
        <v>683345</v>
      </c>
      <c r="G565" s="68" t="n"/>
      <c r="H565" s="68">
        <f>E565*G565</f>
        <v/>
      </c>
      <c r="I565" s="68">
        <f>F565*G565</f>
        <v/>
      </c>
      <c r="J565" s="68">
        <f>SUM(H565:I565)</f>
        <v/>
      </c>
      <c r="K565" s="43" t="n"/>
    </row>
    <row r="566" hidden="1" ht="29" customHeight="1">
      <c r="A566" s="35" t="n">
        <v>558</v>
      </c>
      <c r="B566" s="40" t="inlineStr">
        <is>
          <t>M-HH-PIT-80</t>
        </is>
      </c>
      <c r="C566" s="36" t="inlineStr">
        <is>
          <t>Pembuatan Handhole Pit ukuran dimensi dalam (P x L x T = 80cm x 80cm x 80cm) cor beton 1 : 2 : 3</t>
        </is>
      </c>
      <c r="D566" s="35" t="inlineStr">
        <is>
          <t>pcs</t>
        </is>
      </c>
      <c r="E566" s="37" t="n">
        <v>1554265</v>
      </c>
      <c r="F566" s="42" t="n">
        <v>0</v>
      </c>
      <c r="G566" s="68" t="n"/>
      <c r="H566" s="68">
        <f>E566*G566</f>
        <v/>
      </c>
      <c r="I566" s="68">
        <f>F566*G566</f>
        <v/>
      </c>
      <c r="J566" s="68">
        <f>SUM(H566:I566)</f>
        <v/>
      </c>
      <c r="K566" s="43" t="n"/>
    </row>
    <row r="567" hidden="1" ht="29" customHeight="1">
      <c r="A567" s="35" t="n">
        <v>559</v>
      </c>
      <c r="B567" s="40" t="inlineStr">
        <is>
          <t>J-HH-PIT-80</t>
        </is>
      </c>
      <c r="C567" s="36" t="inlineStr">
        <is>
          <t>Pembuatan Handhole Pit ukuran dimensi dalam (P x L x T = 80cm x 80cm x 80cm) cor beton 1 : 2 : 3</t>
        </is>
      </c>
      <c r="D567" s="35" t="inlineStr">
        <is>
          <t>pcs</t>
        </is>
      </c>
      <c r="E567" s="42" t="n">
        <v>0</v>
      </c>
      <c r="F567" s="37" t="n">
        <v>683345</v>
      </c>
      <c r="G567" s="68" t="n"/>
      <c r="H567" s="68">
        <f>E567*G567</f>
        <v/>
      </c>
      <c r="I567" s="68">
        <f>F567*G567</f>
        <v/>
      </c>
      <c r="J567" s="68">
        <f>SUM(H567:I567)</f>
        <v/>
      </c>
      <c r="K567" s="43" t="n"/>
    </row>
    <row r="568" hidden="1" ht="29" customHeight="1">
      <c r="A568" s="35" t="n">
        <v>560</v>
      </c>
      <c r="B568" s="35" t="inlineStr">
        <is>
          <t>Slack Support HH</t>
        </is>
      </c>
      <c r="C568" s="36" t="inlineStr">
        <is>
          <t>Pengadaan dan Pemasangan Slack include sabuk ukuran dimensi dalam (P x L = 80cm x 80cm)</t>
        </is>
      </c>
      <c r="D568" s="35" t="inlineStr">
        <is>
          <t>pcs</t>
        </is>
      </c>
      <c r="E568" s="37" t="n">
        <v>138710</v>
      </c>
      <c r="F568" s="37" t="n">
        <v>39477</v>
      </c>
      <c r="G568" s="68" t="n"/>
      <c r="H568" s="68">
        <f>E568*G568</f>
        <v/>
      </c>
      <c r="I568" s="68">
        <f>F568*G568</f>
        <v/>
      </c>
      <c r="J568" s="68">
        <f>SUM(H568:I568)</f>
        <v/>
      </c>
      <c r="K568" s="43" t="n"/>
    </row>
    <row r="569" hidden="1" ht="29" customHeight="1">
      <c r="A569" s="35" t="n">
        <v>561</v>
      </c>
      <c r="B569" s="40" t="inlineStr">
        <is>
          <t>M-Slack Support HH</t>
        </is>
      </c>
      <c r="C569" s="36" t="inlineStr">
        <is>
          <t>Pengadaan dan Pemasangan Slack include sabuk ukuran dimensi dalam (P x L = 80cm x 80cm)</t>
        </is>
      </c>
      <c r="D569" s="35" t="inlineStr">
        <is>
          <t>pcs</t>
        </is>
      </c>
      <c r="E569" s="37" t="n">
        <v>138710</v>
      </c>
      <c r="F569" s="42" t="n">
        <v>0</v>
      </c>
      <c r="G569" s="68" t="n"/>
      <c r="H569" s="68">
        <f>E569*G569</f>
        <v/>
      </c>
      <c r="I569" s="68">
        <f>F569*G569</f>
        <v/>
      </c>
      <c r="J569" s="68">
        <f>SUM(H569:I569)</f>
        <v/>
      </c>
      <c r="K569" s="43" t="n"/>
    </row>
    <row r="570" hidden="1" ht="29" customHeight="1">
      <c r="A570" s="35" t="n">
        <v>562</v>
      </c>
      <c r="B570" s="40" t="inlineStr">
        <is>
          <t>J-Slack Support HH</t>
        </is>
      </c>
      <c r="C570" s="36" t="inlineStr">
        <is>
          <t>Pengadaan dan Pemasangan Slack include sabuk ukuran dimensi dalam (P x L = 80cm x 80cm)</t>
        </is>
      </c>
      <c r="D570" s="35" t="inlineStr">
        <is>
          <t>pcs</t>
        </is>
      </c>
      <c r="E570" s="42" t="n">
        <v>0</v>
      </c>
      <c r="F570" s="37" t="n">
        <v>39477</v>
      </c>
      <c r="G570" s="68" t="n"/>
      <c r="H570" s="68">
        <f>E570*G570</f>
        <v/>
      </c>
      <c r="I570" s="68">
        <f>F570*G570</f>
        <v/>
      </c>
      <c r="J570" s="68">
        <f>SUM(H570:I570)</f>
        <v/>
      </c>
      <c r="K570" s="43" t="n"/>
    </row>
    <row r="571" hidden="1" ht="29" customHeight="1">
      <c r="A571" s="35" t="n">
        <v>563</v>
      </c>
      <c r="B571" s="35" t="inlineStr">
        <is>
          <t>Slack Support Chamber</t>
        </is>
      </c>
      <c r="C571" s="36" t="inlineStr">
        <is>
          <t>Pengadaan dan Pemasangan Slack include sabuk ukuran dimensi dalam (P x L = 120cm x 120cm)</t>
        </is>
      </c>
      <c r="D571" s="35" t="inlineStr">
        <is>
          <t>pcs</t>
        </is>
      </c>
      <c r="E571" s="37" t="n">
        <v>329005</v>
      </c>
      <c r="F571" s="37" t="n">
        <v>38110</v>
      </c>
      <c r="G571" s="68" t="n"/>
      <c r="H571" s="68">
        <f>E571*G571</f>
        <v/>
      </c>
      <c r="I571" s="68">
        <f>F571*G571</f>
        <v/>
      </c>
      <c r="J571" s="68">
        <f>SUM(H571:I571)</f>
        <v/>
      </c>
      <c r="K571" s="43" t="n"/>
    </row>
    <row r="572" hidden="1" ht="29" customHeight="1">
      <c r="A572" s="35" t="n">
        <v>564</v>
      </c>
      <c r="B572" s="40" t="inlineStr">
        <is>
          <t>M-Slack Support Chamber</t>
        </is>
      </c>
      <c r="C572" s="36" t="inlineStr">
        <is>
          <t>Pengadaan dan Pemasangan Slack include sabuk ukuran dimensi dalam (P x L = 120cm x 120cm)</t>
        </is>
      </c>
      <c r="D572" s="35" t="inlineStr">
        <is>
          <t>pcs</t>
        </is>
      </c>
      <c r="E572" s="37" t="n">
        <v>329005</v>
      </c>
      <c r="F572" s="42" t="n">
        <v>0</v>
      </c>
      <c r="G572" s="68" t="n"/>
      <c r="H572" s="68">
        <f>E572*G572</f>
        <v/>
      </c>
      <c r="I572" s="68">
        <f>F572*G572</f>
        <v/>
      </c>
      <c r="J572" s="68">
        <f>SUM(H572:I572)</f>
        <v/>
      </c>
      <c r="K572" s="43" t="n"/>
    </row>
    <row r="573" hidden="1" ht="29" customHeight="1">
      <c r="A573" s="35" t="n">
        <v>565</v>
      </c>
      <c r="B573" s="40" t="inlineStr">
        <is>
          <t>J-Slack Support Chamber</t>
        </is>
      </c>
      <c r="C573" s="36" t="inlineStr">
        <is>
          <t>Pengadaan dan Pemasangan Slack include sabuk ukuran dimensi dalam (P x L = 120cm x 120cm)</t>
        </is>
      </c>
      <c r="D573" s="35" t="inlineStr">
        <is>
          <t>pcs</t>
        </is>
      </c>
      <c r="E573" s="42" t="n">
        <v>0</v>
      </c>
      <c r="F573" s="37" t="n">
        <v>38110</v>
      </c>
      <c r="G573" s="68" t="n"/>
      <c r="H573" s="68">
        <f>E573*G573</f>
        <v/>
      </c>
      <c r="I573" s="68">
        <f>F573*G573</f>
        <v/>
      </c>
      <c r="J573" s="68">
        <f>SUM(H573:I573)</f>
        <v/>
      </c>
      <c r="K573" s="43" t="n"/>
    </row>
    <row r="574" hidden="1" ht="14.5" customHeight="1">
      <c r="A574" s="35" t="n">
        <v>566</v>
      </c>
      <c r="B574" s="35" t="inlineStr">
        <is>
          <t>MH-CA</t>
        </is>
      </c>
      <c r="C574" s="36" t="inlineStr">
        <is>
          <t>Pekerjaan Peninggian Tutup Manhole/Handhole</t>
        </is>
      </c>
      <c r="D574" s="35" t="inlineStr">
        <is>
          <t>pcs</t>
        </is>
      </c>
      <c r="E574" s="37" t="n">
        <v>920846</v>
      </c>
      <c r="F574" s="37" t="n">
        <v>714884</v>
      </c>
      <c r="G574" s="68" t="n"/>
      <c r="H574" s="68">
        <f>E574*G574</f>
        <v/>
      </c>
      <c r="I574" s="68">
        <f>F574*G574</f>
        <v/>
      </c>
      <c r="J574" s="68">
        <f>SUM(H574:I574)</f>
        <v/>
      </c>
      <c r="K574" s="43" t="n"/>
    </row>
    <row r="575" hidden="1" ht="14.5" customHeight="1">
      <c r="A575" s="35" t="n">
        <v>567</v>
      </c>
      <c r="B575" s="40" t="inlineStr">
        <is>
          <t>M-MH-CA</t>
        </is>
      </c>
      <c r="C575" s="36" t="inlineStr">
        <is>
          <t>Pekerjaan Peninggian Tutup Manhole/Handhole</t>
        </is>
      </c>
      <c r="D575" s="35" t="inlineStr">
        <is>
          <t>pcs</t>
        </is>
      </c>
      <c r="E575" s="37" t="n">
        <v>920846</v>
      </c>
      <c r="F575" s="42" t="n">
        <v>0</v>
      </c>
      <c r="G575" s="68" t="n"/>
      <c r="H575" s="68">
        <f>E575*G575</f>
        <v/>
      </c>
      <c r="I575" s="68">
        <f>F575*G575</f>
        <v/>
      </c>
      <c r="J575" s="68">
        <f>SUM(H575:I575)</f>
        <v/>
      </c>
      <c r="K575" s="43" t="n"/>
    </row>
    <row r="576" hidden="1" ht="14.5" customHeight="1">
      <c r="A576" s="35" t="n">
        <v>568</v>
      </c>
      <c r="B576" s="40" t="inlineStr">
        <is>
          <t>J-MH-CA</t>
        </is>
      </c>
      <c r="C576" s="36" t="inlineStr">
        <is>
          <t>Pekerjaan Peninggian Tutup Manhole/Handhole</t>
        </is>
      </c>
      <c r="D576" s="35" t="inlineStr">
        <is>
          <t>pcs</t>
        </is>
      </c>
      <c r="E576" s="42" t="n">
        <v>0</v>
      </c>
      <c r="F576" s="37" t="n">
        <v>714884</v>
      </c>
      <c r="G576" s="68" t="n"/>
      <c r="H576" s="68">
        <f>E576*G576</f>
        <v/>
      </c>
      <c r="I576" s="68">
        <f>F576*G576</f>
        <v/>
      </c>
      <c r="J576" s="68">
        <f>SUM(H576:I576)</f>
        <v/>
      </c>
      <c r="K576" s="43" t="n"/>
    </row>
    <row r="577" hidden="1" ht="14.5" customHeight="1">
      <c r="A577" s="35" t="n">
        <v>569</v>
      </c>
      <c r="B577" s="35" t="inlineStr">
        <is>
          <t>CO-OF</t>
        </is>
      </c>
      <c r="C577" s="36" t="inlineStr">
        <is>
          <t>Pekerjaan Cut Over Kabel Serat Optik</t>
        </is>
      </c>
      <c r="D577" s="35" t="inlineStr">
        <is>
          <t>core</t>
        </is>
      </c>
      <c r="E577" s="37" t="n">
        <v>0</v>
      </c>
      <c r="F577" s="37" t="n">
        <v>50463</v>
      </c>
      <c r="G577" s="68" t="n"/>
      <c r="H577" s="68">
        <f>E577*G577</f>
        <v/>
      </c>
      <c r="I577" s="68">
        <f>F577*G577</f>
        <v/>
      </c>
      <c r="J577" s="68">
        <f>SUM(H577:I577)</f>
        <v/>
      </c>
      <c r="K577" s="43" t="n"/>
    </row>
    <row r="578" hidden="1" ht="14.5" customHeight="1">
      <c r="A578" s="35" t="n">
        <v>570</v>
      </c>
      <c r="B578" s="40" t="inlineStr">
        <is>
          <t>J-CO-OF</t>
        </is>
      </c>
      <c r="C578" s="36" t="inlineStr">
        <is>
          <t>Pekerjaan Cut Over Kabel Serat Optik</t>
        </is>
      </c>
      <c r="D578" s="35" t="inlineStr">
        <is>
          <t>core</t>
        </is>
      </c>
      <c r="E578" s="42" t="n">
        <v>0</v>
      </c>
      <c r="F578" s="37" t="n">
        <v>50463</v>
      </c>
      <c r="G578" s="68" t="n"/>
      <c r="H578" s="68">
        <f>E578*G578</f>
        <v/>
      </c>
      <c r="I578" s="68">
        <f>F578*G578</f>
        <v/>
      </c>
      <c r="J578" s="68">
        <f>SUM(H578:I578)</f>
        <v/>
      </c>
      <c r="K578" s="43" t="n"/>
    </row>
    <row r="579" hidden="1" ht="14.5" customHeight="1">
      <c r="A579" s="35" t="n">
        <v>571</v>
      </c>
      <c r="B579" s="35" t="inlineStr">
        <is>
          <t>Close Rack 12U</t>
        </is>
      </c>
      <c r="C579" s="36" t="inlineStr">
        <is>
          <t>19" Wallmounted Rack 12U Depth 450mm</t>
        </is>
      </c>
      <c r="D579" s="35" t="inlineStr">
        <is>
          <t>Unit</t>
        </is>
      </c>
      <c r="E579" s="37" t="n">
        <v>4611743</v>
      </c>
      <c r="F579" s="37" t="n">
        <v>630780</v>
      </c>
      <c r="G579" s="68" t="n"/>
      <c r="H579" s="68">
        <f>E579*G579</f>
        <v/>
      </c>
      <c r="I579" s="68">
        <f>F579*G579</f>
        <v/>
      </c>
      <c r="J579" s="68">
        <f>SUM(H579:I579)</f>
        <v/>
      </c>
      <c r="K579" s="43" t="n"/>
    </row>
    <row r="580" hidden="1" ht="14.5" customHeight="1">
      <c r="A580" s="35" t="n">
        <v>572</v>
      </c>
      <c r="B580" s="40" t="inlineStr">
        <is>
          <t>M-Close Rack 12U</t>
        </is>
      </c>
      <c r="C580" s="36" t="inlineStr">
        <is>
          <t>19" Wallmounted Rack 12U Depth 450mm</t>
        </is>
      </c>
      <c r="D580" s="35" t="inlineStr">
        <is>
          <t>Unit</t>
        </is>
      </c>
      <c r="E580" s="37" t="n">
        <v>4611743</v>
      </c>
      <c r="F580" s="42" t="n">
        <v>0</v>
      </c>
      <c r="G580" s="68" t="n"/>
      <c r="H580" s="68">
        <f>E580*G580</f>
        <v/>
      </c>
      <c r="I580" s="68">
        <f>F580*G580</f>
        <v/>
      </c>
      <c r="J580" s="68">
        <f>SUM(H580:I580)</f>
        <v/>
      </c>
      <c r="K580" s="43" t="n"/>
    </row>
    <row r="581" hidden="1" ht="14.5" customHeight="1">
      <c r="A581" s="35" t="n">
        <v>573</v>
      </c>
      <c r="B581" s="40" t="inlineStr">
        <is>
          <t>J-Close Rack 12U</t>
        </is>
      </c>
      <c r="C581" s="36" t="inlineStr">
        <is>
          <t>19" Wallmounted Rack 12U Depth 450mm</t>
        </is>
      </c>
      <c r="D581" s="35" t="inlineStr">
        <is>
          <t>Unit</t>
        </is>
      </c>
      <c r="E581" s="42" t="n">
        <v>0</v>
      </c>
      <c r="F581" s="37" t="n">
        <v>630780</v>
      </c>
      <c r="G581" s="68" t="n"/>
      <c r="H581" s="68">
        <f>E581*G581</f>
        <v/>
      </c>
      <c r="I581" s="68">
        <f>F581*G581</f>
        <v/>
      </c>
      <c r="J581" s="68">
        <f>SUM(H581:I581)</f>
        <v/>
      </c>
      <c r="K581" s="43" t="n"/>
    </row>
    <row r="582" hidden="1" ht="29" customHeight="1">
      <c r="A582" s="35" t="n">
        <v>574</v>
      </c>
      <c r="B582" s="35" t="inlineStr">
        <is>
          <t>DC-OF-SM-2A</t>
        </is>
      </c>
      <c r="C582" s="36" t="inlineStr">
        <is>
          <t>Pengadaan dan pemasangan Kabel Serat Optic Penanggal Single Mode 2 core dgn pelindung pipa G 657 A (indoor)</t>
        </is>
      </c>
      <c r="D582" s="35" t="inlineStr">
        <is>
          <t>meter</t>
        </is>
      </c>
      <c r="E582" s="37" t="n">
        <v>2372</v>
      </c>
      <c r="F582" s="37" t="n">
        <v>1552</v>
      </c>
      <c r="G582" s="68" t="n"/>
      <c r="H582" s="68">
        <f>E582*G582</f>
        <v/>
      </c>
      <c r="I582" s="68">
        <f>F582*G582</f>
        <v/>
      </c>
      <c r="J582" s="68">
        <f>SUM(H582:I582)</f>
        <v/>
      </c>
      <c r="K582" s="43" t="n"/>
    </row>
    <row r="583" hidden="1" ht="29" customHeight="1">
      <c r="A583" s="35" t="n">
        <v>575</v>
      </c>
      <c r="B583" s="40" t="inlineStr">
        <is>
          <t>M-DC-OF-SM-2A</t>
        </is>
      </c>
      <c r="C583" s="36" t="inlineStr">
        <is>
          <t>Pengadaan dan pemasangan Kabel Serat Optic Penanggal Single Mode 2 core dgn pelindung pipa G 657 A (indoor)</t>
        </is>
      </c>
      <c r="D583" s="35" t="inlineStr">
        <is>
          <t>meter</t>
        </is>
      </c>
      <c r="E583" s="37" t="n">
        <v>2372</v>
      </c>
      <c r="F583" s="42" t="n">
        <v>0</v>
      </c>
      <c r="G583" s="68" t="n"/>
      <c r="H583" s="68">
        <f>E583*G583</f>
        <v/>
      </c>
      <c r="I583" s="68">
        <f>F583*G583</f>
        <v/>
      </c>
      <c r="J583" s="68">
        <f>SUM(H583:I583)</f>
        <v/>
      </c>
      <c r="K583" s="43" t="n"/>
    </row>
    <row r="584" hidden="1" ht="29" customHeight="1">
      <c r="A584" s="35" t="n">
        <v>576</v>
      </c>
      <c r="B584" s="40" t="inlineStr">
        <is>
          <t>J-DC-OF-SM-2A</t>
        </is>
      </c>
      <c r="C584" s="36" t="inlineStr">
        <is>
          <t>Pengadaan dan pemasangan Kabel Serat Optic Penanggal Single Mode 2 core dgn pelindung pipa G 657 A (indoor)</t>
        </is>
      </c>
      <c r="D584" s="35" t="inlineStr">
        <is>
          <t>meter</t>
        </is>
      </c>
      <c r="E584" s="42" t="n">
        <v>0</v>
      </c>
      <c r="F584" s="37" t="n">
        <v>1552</v>
      </c>
      <c r="G584" s="68" t="n"/>
      <c r="H584" s="68">
        <f>E584*G584</f>
        <v/>
      </c>
      <c r="I584" s="68">
        <f>F584*G584</f>
        <v/>
      </c>
      <c r="J584" s="68">
        <f>SUM(H584:I584)</f>
        <v/>
      </c>
      <c r="K584" s="43" t="n"/>
    </row>
    <row r="585" hidden="1" ht="29" customHeight="1">
      <c r="A585" s="35" t="n">
        <v>577</v>
      </c>
      <c r="B585" s="35" t="inlineStr">
        <is>
          <t>FC-SC-DC</t>
        </is>
      </c>
      <c r="C585" s="36" t="inlineStr">
        <is>
          <t>Pengadaan dan pemasangan SC/UPC Connector for Drop / Indoor Cable (Fusion)</t>
        </is>
      </c>
      <c r="D585" s="35" t="inlineStr">
        <is>
          <t>pcs</t>
        </is>
      </c>
      <c r="E585" s="37" t="n">
        <v>49918</v>
      </c>
      <c r="F585" s="37" t="n">
        <v>60975</v>
      </c>
      <c r="G585" s="68" t="n"/>
      <c r="H585" s="68">
        <f>E585*G585</f>
        <v/>
      </c>
      <c r="I585" s="68">
        <f>F585*G585</f>
        <v/>
      </c>
      <c r="J585" s="68">
        <f>SUM(H585:I585)</f>
        <v/>
      </c>
      <c r="K585" s="43" t="n"/>
    </row>
    <row r="586" hidden="1" ht="29" customHeight="1">
      <c r="A586" s="35" t="n">
        <v>578</v>
      </c>
      <c r="B586" s="40" t="inlineStr">
        <is>
          <t>M-FC-SC-DC</t>
        </is>
      </c>
      <c r="C586" s="36" t="inlineStr">
        <is>
          <t>Pengadaan dan pemasangan SC/UPC Connector for Drop / Indoor Cable (Fusion)</t>
        </is>
      </c>
      <c r="D586" s="35" t="inlineStr">
        <is>
          <t>pcs</t>
        </is>
      </c>
      <c r="E586" s="37" t="n">
        <v>49918</v>
      </c>
      <c r="F586" s="42" t="n">
        <v>0</v>
      </c>
      <c r="G586" s="68" t="n"/>
      <c r="H586" s="68">
        <f>E586*G586</f>
        <v/>
      </c>
      <c r="I586" s="68">
        <f>F586*G586</f>
        <v/>
      </c>
      <c r="J586" s="68">
        <f>SUM(H586:I586)</f>
        <v/>
      </c>
      <c r="K586" s="43" t="n"/>
    </row>
    <row r="587" hidden="1" ht="29" customHeight="1">
      <c r="A587" s="35" t="n">
        <v>579</v>
      </c>
      <c r="B587" s="40" t="inlineStr">
        <is>
          <t>J-FC-SC-DC</t>
        </is>
      </c>
      <c r="C587" s="36" t="inlineStr">
        <is>
          <t>Pengadaan dan pemasangan SC/UPC Connector for Drop / Indoor Cable (Fusion)</t>
        </is>
      </c>
      <c r="D587" s="35" t="inlineStr">
        <is>
          <t>pcs</t>
        </is>
      </c>
      <c r="E587" s="42" t="n">
        <v>0</v>
      </c>
      <c r="F587" s="37" t="n">
        <v>60975</v>
      </c>
      <c r="G587" s="68" t="n"/>
      <c r="H587" s="68">
        <f>E587*G587</f>
        <v/>
      </c>
      <c r="I587" s="68">
        <f>F587*G587</f>
        <v/>
      </c>
      <c r="J587" s="68">
        <f>SUM(H587:I587)</f>
        <v/>
      </c>
      <c r="K587" s="43" t="n"/>
    </row>
    <row r="588" hidden="1" ht="14.5" customHeight="1">
      <c r="A588" s="35" t="n">
        <v>580</v>
      </c>
      <c r="B588" s="35" t="inlineStr">
        <is>
          <t>Coring</t>
        </is>
      </c>
      <c r="C588" s="36" t="inlineStr">
        <is>
          <t>Pekerjaan bobokan tembok/coring Cor Beton di ruang Shaft</t>
        </is>
      </c>
      <c r="D588" s="35" t="inlineStr">
        <is>
          <t>titik</t>
        </is>
      </c>
      <c r="E588" s="37" t="n">
        <v>0</v>
      </c>
      <c r="F588" s="37" t="n">
        <v>841040</v>
      </c>
      <c r="G588" s="68" t="n"/>
      <c r="H588" s="68">
        <f>E588*G588</f>
        <v/>
      </c>
      <c r="I588" s="68">
        <f>F588*G588</f>
        <v/>
      </c>
      <c r="J588" s="68">
        <f>SUM(H588:I588)</f>
        <v/>
      </c>
      <c r="K588" s="43" t="n"/>
    </row>
    <row r="589" hidden="1" ht="14.5" customHeight="1">
      <c r="A589" s="35" t="n">
        <v>581</v>
      </c>
      <c r="B589" s="40" t="inlineStr">
        <is>
          <t>J-Coring</t>
        </is>
      </c>
      <c r="C589" s="36" t="inlineStr">
        <is>
          <t>Pekerjaan bobokan tembok/coring Cor Beton di ruang Shaft</t>
        </is>
      </c>
      <c r="D589" s="35" t="inlineStr">
        <is>
          <t>titik</t>
        </is>
      </c>
      <c r="E589" s="42" t="n">
        <v>0</v>
      </c>
      <c r="F589" s="37" t="n">
        <v>841040</v>
      </c>
      <c r="G589" s="68" t="n"/>
      <c r="H589" s="68">
        <f>E589*G589</f>
        <v/>
      </c>
      <c r="I589" s="68">
        <f>F589*G589</f>
        <v/>
      </c>
      <c r="J589" s="68">
        <f>SUM(H589:I589)</f>
        <v/>
      </c>
      <c r="K589" s="43" t="n"/>
    </row>
    <row r="590" hidden="1" ht="43.5" customHeight="1">
      <c r="A590" s="35" t="n">
        <v>582</v>
      </c>
      <c r="B590" s="35" t="inlineStr">
        <is>
          <t>Klem Galvanise</t>
        </is>
      </c>
      <c r="C590" s="36" t="inlineStr">
        <is>
          <t>Pengadaan &amp; Pemasangan klem galvanise untuk airblown pipe dengan ketebalan 2mm, lebar 2.5 cm menggunakan dynabolt termasuk rekondisi atau perbaikan kerusakan</t>
        </is>
      </c>
      <c r="D590" s="35" t="inlineStr">
        <is>
          <t>pcs</t>
        </is>
      </c>
      <c r="E590" s="37" t="n">
        <v>13954</v>
      </c>
      <c r="F590" s="37" t="n">
        <v>2103</v>
      </c>
      <c r="G590" s="68" t="n"/>
      <c r="H590" s="68">
        <f>E590*G590</f>
        <v/>
      </c>
      <c r="I590" s="68">
        <f>F590*G590</f>
        <v/>
      </c>
      <c r="J590" s="68">
        <f>SUM(H590:I590)</f>
        <v/>
      </c>
      <c r="K590" s="43" t="n"/>
    </row>
    <row r="591" hidden="1" ht="43.5" customHeight="1">
      <c r="A591" s="35" t="n">
        <v>583</v>
      </c>
      <c r="B591" s="40" t="inlineStr">
        <is>
          <t>M-Klem Galvanise</t>
        </is>
      </c>
      <c r="C591" s="36" t="inlineStr">
        <is>
          <t>Pengadaan &amp; Pemasangan klem galvanise untuk airblown pipe dengan ketebalan 2mm, lebar 2.5 cm menggunakan dynabolt termasuk rekondisi atau perbaikan kerusakan</t>
        </is>
      </c>
      <c r="D591" s="35" t="inlineStr">
        <is>
          <t>pcs</t>
        </is>
      </c>
      <c r="E591" s="37" t="n">
        <v>13954</v>
      </c>
      <c r="F591" s="42" t="n">
        <v>0</v>
      </c>
      <c r="G591" s="68" t="n"/>
      <c r="H591" s="68">
        <f>E591*G591</f>
        <v/>
      </c>
      <c r="I591" s="68">
        <f>F591*G591</f>
        <v/>
      </c>
      <c r="J591" s="68">
        <f>SUM(H591:I591)</f>
        <v/>
      </c>
      <c r="K591" s="43" t="n"/>
    </row>
    <row r="592" hidden="1" ht="43.5" customHeight="1">
      <c r="A592" s="35" t="n">
        <v>584</v>
      </c>
      <c r="B592" s="40" t="inlineStr">
        <is>
          <t>J-Klem Galvanise</t>
        </is>
      </c>
      <c r="C592" s="36" t="inlineStr">
        <is>
          <t>Pengadaan &amp; Pemasangan klem galvanise untuk airblown pipe dengan ketebalan 2mm, lebar 2.5 cm menggunakan dynabolt termasuk rekondisi atau perbaikan kerusakan</t>
        </is>
      </c>
      <c r="D592" s="35" t="inlineStr">
        <is>
          <t>pcs</t>
        </is>
      </c>
      <c r="E592" s="42" t="n">
        <v>0</v>
      </c>
      <c r="F592" s="37" t="n">
        <v>2103</v>
      </c>
      <c r="G592" s="68" t="n"/>
      <c r="H592" s="68">
        <f>E592*G592</f>
        <v/>
      </c>
      <c r="I592" s="68">
        <f>F592*G592</f>
        <v/>
      </c>
      <c r="J592" s="68">
        <f>SUM(H592:I592)</f>
        <v/>
      </c>
      <c r="K592" s="43" t="n"/>
    </row>
    <row r="593" hidden="1" ht="43.5" customHeight="1">
      <c r="A593" s="35" t="n">
        <v>585</v>
      </c>
      <c r="B593" s="35" t="inlineStr">
        <is>
          <t>Rak Pasif spliter 1:4</t>
        </is>
      </c>
      <c r="C593" s="36" t="inlineStr">
        <is>
          <t>19 inch 24 core Pull type optical fiber distribution frame 24 port Rack Mounted Indoor fiber patch panel, Include RS232 Passive Splitter Rackmount Chassis - 2U</t>
        </is>
      </c>
      <c r="D593" s="35" t="inlineStr">
        <is>
          <t>pcs</t>
        </is>
      </c>
      <c r="E593" s="37" t="n">
        <v>1758475</v>
      </c>
      <c r="F593" s="37" t="n">
        <v>441546</v>
      </c>
      <c r="G593" s="68" t="n"/>
      <c r="H593" s="68">
        <f>E593*G593</f>
        <v/>
      </c>
      <c r="I593" s="68">
        <f>F593*G593</f>
        <v/>
      </c>
      <c r="J593" s="68">
        <f>SUM(H593:I593)</f>
        <v/>
      </c>
      <c r="K593" s="43" t="n"/>
    </row>
    <row r="594" hidden="1" ht="43.5" customHeight="1">
      <c r="A594" s="35" t="n">
        <v>586</v>
      </c>
      <c r="B594" s="40" t="inlineStr">
        <is>
          <t>M-Rak Pasif spliter 1:4</t>
        </is>
      </c>
      <c r="C594" s="36" t="inlineStr">
        <is>
          <t>19 inch 24 core Pull type optical fiber distribution frame 24 port Rack Mounted Indoor fiber patch panel, Include RS232 Passive Splitter Rackmount Chassis - 2U</t>
        </is>
      </c>
      <c r="D594" s="35" t="inlineStr">
        <is>
          <t>pcs</t>
        </is>
      </c>
      <c r="E594" s="37" t="n">
        <v>1758475</v>
      </c>
      <c r="F594" s="42" t="n">
        <v>0</v>
      </c>
      <c r="G594" s="68" t="n"/>
      <c r="H594" s="68">
        <f>E594*G594</f>
        <v/>
      </c>
      <c r="I594" s="68">
        <f>F594*G594</f>
        <v/>
      </c>
      <c r="J594" s="68">
        <f>SUM(H594:I594)</f>
        <v/>
      </c>
      <c r="K594" s="43" t="n"/>
    </row>
    <row r="595" hidden="1" ht="43.5" customHeight="1">
      <c r="A595" s="35" t="n">
        <v>587</v>
      </c>
      <c r="B595" s="40" t="inlineStr">
        <is>
          <t>J-Rak Pasif spliter 1:4</t>
        </is>
      </c>
      <c r="C595" s="36" t="inlineStr">
        <is>
          <t>19 inch 24 core Pull type optical fiber distribution frame 24 port Rack Mounted Indoor fiber patch panel, Include RS232 Passive Splitter Rackmount Chassis - 2U</t>
        </is>
      </c>
      <c r="D595" s="35" t="inlineStr">
        <is>
          <t>pcs</t>
        </is>
      </c>
      <c r="E595" s="42" t="n">
        <v>0</v>
      </c>
      <c r="F595" s="37" t="n">
        <v>441546</v>
      </c>
      <c r="G595" s="68" t="n"/>
      <c r="H595" s="68">
        <f>E595*G595</f>
        <v/>
      </c>
      <c r="I595" s="68">
        <f>F595*G595</f>
        <v/>
      </c>
      <c r="J595" s="68">
        <f>SUM(H595:I595)</f>
        <v/>
      </c>
      <c r="K595" s="43" t="n"/>
    </row>
    <row r="596" hidden="1" ht="29" customHeight="1">
      <c r="A596" s="35" t="n">
        <v>588</v>
      </c>
      <c r="B596" s="35" t="inlineStr">
        <is>
          <t>Label Kabel Distribusi (KU FO)</t>
        </is>
      </c>
      <c r="C596" s="36" t="inlineStr">
        <is>
          <t>Pengadaan dan Pemasangan label kabel distribusi fo dengan material akrilik warna (P x L = 5cm x 15cm, tebal = 5 mm)</t>
        </is>
      </c>
      <c r="D596" s="35" t="inlineStr">
        <is>
          <t>pcs</t>
        </is>
      </c>
      <c r="E596" s="37" t="n">
        <v>18719</v>
      </c>
      <c r="F596" s="37" t="n">
        <v>5267</v>
      </c>
      <c r="G596" s="68" t="n"/>
      <c r="H596" s="68">
        <f>E596*G596</f>
        <v/>
      </c>
      <c r="I596" s="68">
        <f>F596*G596</f>
        <v/>
      </c>
      <c r="J596" s="68">
        <f>SUM(H596:I596)</f>
        <v/>
      </c>
      <c r="K596" s="43" t="n"/>
    </row>
    <row r="597" hidden="1" ht="29" customHeight="1">
      <c r="A597" s="35" t="n">
        <v>589</v>
      </c>
      <c r="B597" s="40" t="inlineStr">
        <is>
          <t>M-Label Kabel Distribusi (KU FO)</t>
        </is>
      </c>
      <c r="C597" s="36" t="inlineStr">
        <is>
          <t>Pengadaan dan Pemasangan label kabel distribusi fo dengan material akrilik warna (P x L = 5cm x 15cm, tebal = 5 mm)</t>
        </is>
      </c>
      <c r="D597" s="35" t="inlineStr">
        <is>
          <t>pcs</t>
        </is>
      </c>
      <c r="E597" s="37" t="n">
        <v>18719</v>
      </c>
      <c r="F597" s="42" t="n">
        <v>0</v>
      </c>
      <c r="G597" s="68" t="n"/>
      <c r="H597" s="68">
        <f>E597*G597</f>
        <v/>
      </c>
      <c r="I597" s="68">
        <f>F597*G597</f>
        <v/>
      </c>
      <c r="J597" s="68">
        <f>SUM(H597:I597)</f>
        <v/>
      </c>
      <c r="K597" s="43" t="n"/>
    </row>
    <row r="598" hidden="1" ht="29" customHeight="1">
      <c r="A598" s="35" t="n">
        <v>590</v>
      </c>
      <c r="B598" s="40" t="inlineStr">
        <is>
          <t>J-Label Kabel Distribusi (KU FO)</t>
        </is>
      </c>
      <c r="C598" s="36" t="inlineStr">
        <is>
          <t>Pengadaan dan Pemasangan label kabel distribusi fo dengan material akrilik warna (P x L = 5cm x 15cm, tebal = 5 mm)</t>
        </is>
      </c>
      <c r="D598" s="35" t="inlineStr">
        <is>
          <t>pcs</t>
        </is>
      </c>
      <c r="E598" s="42" t="n">
        <v>0</v>
      </c>
      <c r="F598" s="37" t="n">
        <v>5267</v>
      </c>
      <c r="G598" s="68" t="n"/>
      <c r="H598" s="68">
        <f>E598*G598</f>
        <v/>
      </c>
      <c r="I598" s="68">
        <f>F598*G598</f>
        <v/>
      </c>
      <c r="J598" s="68">
        <f>SUM(H598:I598)</f>
        <v/>
      </c>
      <c r="K598" s="43" t="n"/>
    </row>
    <row r="599" hidden="1" ht="29" customHeight="1">
      <c r="A599" s="35" t="n">
        <v>591</v>
      </c>
      <c r="B599" s="35" t="inlineStr">
        <is>
          <t>Preliminary Project</t>
        </is>
      </c>
      <c r="C599" s="36" t="inlineStr">
        <is>
          <t>Biaya-biaya yang timbul dalam rangka untuk perijinan dan kompensasi pekerjaan</t>
        </is>
      </c>
      <c r="D599" s="35" t="inlineStr">
        <is>
          <t>Lumpsum</t>
        </is>
      </c>
      <c r="E599" s="37" t="n">
        <v>0</v>
      </c>
      <c r="F599" s="37" t="n">
        <v>1</v>
      </c>
      <c r="G599" s="68" t="n"/>
      <c r="H599" s="68">
        <f>E599*G599</f>
        <v/>
      </c>
      <c r="I599" s="68">
        <f>F599*G599</f>
        <v/>
      </c>
      <c r="J599" s="68">
        <f>SUM(H599:I599)</f>
        <v/>
      </c>
      <c r="K599" s="43" t="n"/>
    </row>
    <row r="600" hidden="1" ht="29" customHeight="1">
      <c r="A600" s="35" t="n">
        <v>592</v>
      </c>
      <c r="B600" s="40" t="inlineStr">
        <is>
          <t>J-Preliminary Project</t>
        </is>
      </c>
      <c r="C600" s="36" t="inlineStr">
        <is>
          <t>Biaya-biaya yang timbul dalam rangka untuk perijinan dan kompensasi pekerjaan</t>
        </is>
      </c>
      <c r="D600" s="35" t="inlineStr">
        <is>
          <t>Lumpsum</t>
        </is>
      </c>
      <c r="E600" s="42" t="n">
        <v>0</v>
      </c>
      <c r="F600" s="37" t="n">
        <v>1</v>
      </c>
      <c r="G600" s="68" t="n"/>
      <c r="H600" s="68">
        <f>E600*G600</f>
        <v/>
      </c>
      <c r="I600" s="68">
        <f>F600*G600</f>
        <v/>
      </c>
      <c r="J600" s="68">
        <f>SUM(H600:I600)</f>
        <v/>
      </c>
      <c r="K600" s="43" t="n"/>
    </row>
    <row r="601" hidden="1" ht="43.5" customHeight="1">
      <c r="A601" s="35" t="n">
        <v>593</v>
      </c>
      <c r="B601" s="35" t="inlineStr">
        <is>
          <t>FTM-CR-19</t>
        </is>
      </c>
      <c r="C601" s="36" t="inlineStr">
        <is>
          <t>Pengadaan &amp; Pemasangan Optical Fiber High Density Cable, Close Rack 19 Inch. Lengkap termasuk Fibre Management maximum Capacity 7x144 core / 42U</t>
        </is>
      </c>
      <c r="D601" s="35" t="inlineStr">
        <is>
          <t>Unit</t>
        </is>
      </c>
      <c r="E601" s="37" t="n">
        <v>19729398</v>
      </c>
      <c r="F601" s="37" t="n">
        <v>388134</v>
      </c>
      <c r="G601" s="68" t="n"/>
      <c r="H601" s="68">
        <f>E601*G601</f>
        <v/>
      </c>
      <c r="I601" s="68">
        <f>F601*G601</f>
        <v/>
      </c>
      <c r="J601" s="68">
        <f>SUM(H601:I601)</f>
        <v/>
      </c>
      <c r="K601" s="43" t="n"/>
    </row>
    <row r="602" hidden="1" ht="43.5" customHeight="1">
      <c r="A602" s="35" t="n">
        <v>594</v>
      </c>
      <c r="B602" s="40" t="inlineStr">
        <is>
          <t>M-FTM-CR-19</t>
        </is>
      </c>
      <c r="C602" s="36" t="inlineStr">
        <is>
          <t>Pengadaan &amp; Pemasangan Optical Fiber High Density Cable, Close Rack 19 Inch. Lengkap termasuk Fibre Management maximum Capacity 7x144 core / 42U</t>
        </is>
      </c>
      <c r="D602" s="35" t="inlineStr">
        <is>
          <t>Unit</t>
        </is>
      </c>
      <c r="E602" s="37" t="n">
        <v>19729398</v>
      </c>
      <c r="F602" s="42" t="n">
        <v>0</v>
      </c>
      <c r="G602" s="68" t="n"/>
      <c r="H602" s="68">
        <f>E602*G602</f>
        <v/>
      </c>
      <c r="I602" s="68">
        <f>F602*G602</f>
        <v/>
      </c>
      <c r="J602" s="68">
        <f>SUM(H602:I602)</f>
        <v/>
      </c>
      <c r="K602" s="43" t="n"/>
    </row>
    <row r="603" hidden="1" ht="43.5" customHeight="1">
      <c r="A603" s="35" t="n">
        <v>595</v>
      </c>
      <c r="B603" s="40" t="inlineStr">
        <is>
          <t>J-FTM-CR-19</t>
        </is>
      </c>
      <c r="C603" s="36" t="inlineStr">
        <is>
          <t>Pengadaan &amp; Pemasangan Optical Fiber High Density Cable, Close Rack 19 Inch. Lengkap termasuk Fibre Management maximum Capacity 7x144 core / 42U</t>
        </is>
      </c>
      <c r="D603" s="35" t="inlineStr">
        <is>
          <t>Unit</t>
        </is>
      </c>
      <c r="E603" s="42" t="n">
        <v>0</v>
      </c>
      <c r="F603" s="37" t="n">
        <v>388134</v>
      </c>
      <c r="G603" s="68" t="n"/>
      <c r="H603" s="68">
        <f>E603*G603</f>
        <v/>
      </c>
      <c r="I603" s="68">
        <f>F603*G603</f>
        <v/>
      </c>
      <c r="J603" s="68">
        <f>SUM(H603:I603)</f>
        <v/>
      </c>
      <c r="K603" s="43" t="n"/>
    </row>
    <row r="604" hidden="1" ht="43.5" customHeight="1">
      <c r="A604" s="35" t="n">
        <v>596</v>
      </c>
      <c r="B604" s="35" t="inlineStr">
        <is>
          <t>TC-SM-144</t>
        </is>
      </c>
      <c r="C604" s="36" t="inlineStr">
        <is>
          <t>Pengadaan dan Pemasangan OTB Single Mode kapasitas 144 core (tidak termasuk terminasi), Adapter (SC Connector), pigtail dan protection sleeve pada cassette/box</t>
        </is>
      </c>
      <c r="D604" s="35" t="inlineStr">
        <is>
          <t>pcs</t>
        </is>
      </c>
      <c r="E604" s="37" t="n">
        <v>12175851</v>
      </c>
      <c r="F604" s="37" t="n">
        <v>97034</v>
      </c>
      <c r="G604" s="68" t="n"/>
      <c r="H604" s="68">
        <f>E604*G604</f>
        <v/>
      </c>
      <c r="I604" s="68">
        <f>F604*G604</f>
        <v/>
      </c>
      <c r="J604" s="68">
        <f>SUM(H604:I604)</f>
        <v/>
      </c>
      <c r="K604" s="43" t="n"/>
    </row>
    <row r="605" hidden="1" ht="43.5" customHeight="1">
      <c r="A605" s="35" t="n">
        <v>597</v>
      </c>
      <c r="B605" s="40" t="inlineStr">
        <is>
          <t>M-TC-SM-144</t>
        </is>
      </c>
      <c r="C605" s="36" t="inlineStr">
        <is>
          <t>Pengadaan dan Pemasangan OTB Single Mode kapasitas 144 core (tidak termasuk terminasi), Adapter (SC Connector), pigtail dan protection sleeve pada cassette/box</t>
        </is>
      </c>
      <c r="D605" s="35" t="inlineStr">
        <is>
          <t>pcs</t>
        </is>
      </c>
      <c r="E605" s="37" t="n">
        <v>12175851</v>
      </c>
      <c r="F605" s="42" t="n">
        <v>0</v>
      </c>
      <c r="G605" s="68" t="n"/>
      <c r="H605" s="68">
        <f>E605*G605</f>
        <v/>
      </c>
      <c r="I605" s="68">
        <f>F605*G605</f>
        <v/>
      </c>
      <c r="J605" s="68">
        <f>SUM(H605:I605)</f>
        <v/>
      </c>
      <c r="K605" s="43" t="n"/>
    </row>
    <row r="606" hidden="1" ht="43.5" customHeight="1">
      <c r="A606" s="35" t="n">
        <v>598</v>
      </c>
      <c r="B606" s="40" t="inlineStr">
        <is>
          <t>J-TC-SM-144</t>
        </is>
      </c>
      <c r="C606" s="36" t="inlineStr">
        <is>
          <t>Pengadaan dan Pemasangan OTB Single Mode kapasitas 144 core (tidak termasuk terminasi), Adapter (SC Connector), pigtail dan protection sleeve pada cassette/box</t>
        </is>
      </c>
      <c r="D606" s="35" t="inlineStr">
        <is>
          <t>pcs</t>
        </is>
      </c>
      <c r="E606" s="42" t="n">
        <v>0</v>
      </c>
      <c r="F606" s="37" t="n">
        <v>97034</v>
      </c>
      <c r="G606" s="68" t="n"/>
      <c r="H606" s="68">
        <f>E606*G606</f>
        <v/>
      </c>
      <c r="I606" s="68">
        <f>F606*G606</f>
        <v/>
      </c>
      <c r="J606" s="68">
        <f>SUM(H606:I606)</f>
        <v/>
      </c>
      <c r="K606" s="43" t="n"/>
    </row>
    <row r="607" hidden="1" ht="14.5" customHeight="1">
      <c r="A607" s="35" t="n">
        <v>599</v>
      </c>
      <c r="B607" s="35" t="inlineStr">
        <is>
          <t>GC-NYAF-16</t>
        </is>
      </c>
      <c r="C607" s="36" t="inlineStr">
        <is>
          <t>Kabel Grounding NYAF 16 mm</t>
        </is>
      </c>
      <c r="D607" s="35" t="inlineStr">
        <is>
          <t>meter</t>
        </is>
      </c>
      <c r="E607" s="37" t="n">
        <v>28910</v>
      </c>
      <c r="F607" s="37" t="n">
        <v>2019</v>
      </c>
      <c r="G607" s="68" t="n"/>
      <c r="H607" s="68">
        <f>E607*G607</f>
        <v/>
      </c>
      <c r="I607" s="68">
        <f>F607*G607</f>
        <v/>
      </c>
      <c r="J607" s="68">
        <f>SUM(H607:I607)</f>
        <v/>
      </c>
      <c r="K607" s="43" t="n"/>
    </row>
    <row r="608" hidden="1" ht="14.5" customHeight="1">
      <c r="A608" s="35" t="n">
        <v>600</v>
      </c>
      <c r="B608" s="40" t="inlineStr">
        <is>
          <t>M-GC-NYAF-16</t>
        </is>
      </c>
      <c r="C608" s="36" t="inlineStr">
        <is>
          <t>Kabel Grounding NYAF 16 mm</t>
        </is>
      </c>
      <c r="D608" s="35" t="inlineStr">
        <is>
          <t>meter</t>
        </is>
      </c>
      <c r="E608" s="37" t="n">
        <v>28910</v>
      </c>
      <c r="F608" s="42" t="n">
        <v>0</v>
      </c>
      <c r="G608" s="68" t="n"/>
      <c r="H608" s="68">
        <f>E608*G608</f>
        <v/>
      </c>
      <c r="I608" s="68">
        <f>F608*G608</f>
        <v/>
      </c>
      <c r="J608" s="68">
        <f>SUM(H608:I608)</f>
        <v/>
      </c>
      <c r="K608" s="43" t="n"/>
    </row>
    <row r="609" hidden="1" ht="14.5" customHeight="1">
      <c r="A609" s="35" t="n">
        <v>601</v>
      </c>
      <c r="B609" s="40" t="inlineStr">
        <is>
          <t>J-GC-NYAF-16</t>
        </is>
      </c>
      <c r="C609" s="36" t="inlineStr">
        <is>
          <t>Kabel Grounding NYAF 16 mm</t>
        </is>
      </c>
      <c r="D609" s="35" t="inlineStr">
        <is>
          <t>meter</t>
        </is>
      </c>
      <c r="E609" s="42" t="n">
        <v>0</v>
      </c>
      <c r="F609" s="37" t="n">
        <v>2019</v>
      </c>
      <c r="G609" s="68" t="n"/>
      <c r="H609" s="68">
        <f>E609*G609</f>
        <v/>
      </c>
      <c r="I609" s="68">
        <f>F609*G609</f>
        <v/>
      </c>
      <c r="J609" s="68">
        <f>SUM(H609:I609)</f>
        <v/>
      </c>
      <c r="K609" s="43" t="n"/>
    </row>
    <row r="610" hidden="1" ht="58" customHeight="1">
      <c r="A610" s="35" t="n">
        <v>602</v>
      </c>
      <c r="B610" s="35" t="inlineStr">
        <is>
          <t>BR-HDPE</t>
        </is>
      </c>
      <c r="C610" s="36" t="inlineStr">
        <is>
          <t>Pengadaan dan Pemasangan sistem bracket penopang HDPE dengan bahan plat besi galvanized (elektro) tebal 2 mm ukuran 40x17x4,2 cm (PxTxL) dengan 2 dynabolt stainless steel M10x70mm dan 9 cable ties ukuran 14,5 inch.</t>
        </is>
      </c>
      <c r="D610" s="35" t="inlineStr">
        <is>
          <t>set</t>
        </is>
      </c>
      <c r="E610" s="37" t="n">
        <v>190105</v>
      </c>
      <c r="F610" s="37" t="n">
        <v>75694</v>
      </c>
      <c r="G610" s="68" t="n"/>
      <c r="H610" s="68">
        <f>E610*G610</f>
        <v/>
      </c>
      <c r="I610" s="68">
        <f>F610*G610</f>
        <v/>
      </c>
      <c r="J610" s="68">
        <f>SUM(H610:I610)</f>
        <v/>
      </c>
      <c r="K610" s="43" t="n"/>
    </row>
    <row r="611" hidden="1" ht="58" customHeight="1">
      <c r="A611" s="35" t="n">
        <v>603</v>
      </c>
      <c r="B611" s="40" t="inlineStr">
        <is>
          <t>M-BR-HDPE</t>
        </is>
      </c>
      <c r="C611" s="36" t="inlineStr">
        <is>
          <t>Pengadaan dan Pemasangan sistem bracket penopang HDPE dengan bahan plat besi galvanized (elektro) tebal 2 mm ukuran 40x17x4,2 cm (PxTxL) dengan 2 dynabolt stainless steel M10x70mm dan 9 cable ties ukuran 14,5 inch.</t>
        </is>
      </c>
      <c r="D611" s="35" t="inlineStr">
        <is>
          <t>set</t>
        </is>
      </c>
      <c r="E611" s="37" t="n">
        <v>190105</v>
      </c>
      <c r="F611" s="42" t="n">
        <v>0</v>
      </c>
      <c r="G611" s="68" t="n"/>
      <c r="H611" s="68">
        <f>E611*G611</f>
        <v/>
      </c>
      <c r="I611" s="68">
        <f>F611*G611</f>
        <v/>
      </c>
      <c r="J611" s="68">
        <f>SUM(H611:I611)</f>
        <v/>
      </c>
      <c r="K611" s="43" t="n"/>
    </row>
    <row r="612" hidden="1" ht="58" customHeight="1">
      <c r="A612" s="35" t="n">
        <v>604</v>
      </c>
      <c r="B612" s="40" t="inlineStr">
        <is>
          <t>J-BR-HDPE</t>
        </is>
      </c>
      <c r="C612" s="36" t="inlineStr">
        <is>
          <t>Pengadaan dan Pemasangan sistem bracket penopang HDPE dengan bahan plat besi galvanized (elektro) tebal 2 mm ukuran 40x17x4,2 cm (PxTxL) dengan 2 dynabolt stainless steel M10x70mm dan 9 cable ties ukuran 14,5 inch.</t>
        </is>
      </c>
      <c r="D612" s="35" t="inlineStr">
        <is>
          <t>set</t>
        </is>
      </c>
      <c r="E612" s="42" t="n">
        <v>0</v>
      </c>
      <c r="F612" s="37" t="n">
        <v>75694</v>
      </c>
      <c r="G612" s="68" t="n"/>
      <c r="H612" s="68">
        <f>E612*G612</f>
        <v/>
      </c>
      <c r="I612" s="68">
        <f>F612*G612</f>
        <v/>
      </c>
      <c r="J612" s="68">
        <f>SUM(H612:I612)</f>
        <v/>
      </c>
      <c r="K612" s="43" t="n"/>
    </row>
    <row r="613" hidden="1" ht="58" customHeight="1">
      <c r="A613" s="35" t="n">
        <v>605</v>
      </c>
      <c r="B613" s="35" t="inlineStr">
        <is>
          <t>BC-TR-S-0.8</t>
        </is>
      </c>
      <c r="C613" s="36" t="inlineStr">
        <is>
          <t>Penggalian dengan kondisi tanah Padas/Cadas termasuk pengurugan dan perbaikan kembali bekas galian dengan permukaan cor beton 1:2:3 (lebar30cm, ketebalan 40cm) dengan kedalaman minimal 80 cm</t>
        </is>
      </c>
      <c r="D613" s="35" t="inlineStr">
        <is>
          <t>meter</t>
        </is>
      </c>
      <c r="E613" s="37" t="n">
        <v>174170</v>
      </c>
      <c r="F613" s="37" t="n">
        <v>115930</v>
      </c>
      <c r="G613" s="68" t="n"/>
      <c r="H613" s="68">
        <f>E613*G613</f>
        <v/>
      </c>
      <c r="I613" s="68">
        <f>F613*G613</f>
        <v/>
      </c>
      <c r="J613" s="68">
        <f>SUM(H613:I613)</f>
        <v/>
      </c>
      <c r="K613" s="43" t="n"/>
    </row>
    <row r="614" hidden="1" ht="58" customHeight="1">
      <c r="A614" s="35" t="n">
        <v>606</v>
      </c>
      <c r="B614" s="40" t="inlineStr">
        <is>
          <t>M-BC-TR-S-0.8</t>
        </is>
      </c>
      <c r="C614" s="36" t="inlineStr">
        <is>
          <t>Penggalian dengan kondisi tanah Padas/Cadas termasuk pengurugan dan perbaikan kembali bekas galian dengan permukaan cor beton 1:2:3 (lebar30cm, ketebalan 40cm) dengan kedalaman minimal 80 cm</t>
        </is>
      </c>
      <c r="D614" s="35" t="inlineStr">
        <is>
          <t>meter</t>
        </is>
      </c>
      <c r="E614" s="37" t="n">
        <v>174170</v>
      </c>
      <c r="F614" s="42" t="n">
        <v>0</v>
      </c>
      <c r="G614" s="68" t="n"/>
      <c r="H614" s="68">
        <f>E614*G614</f>
        <v/>
      </c>
      <c r="I614" s="68">
        <f>F614*G614</f>
        <v/>
      </c>
      <c r="J614" s="68">
        <f>SUM(H614:I614)</f>
        <v/>
      </c>
      <c r="K614" s="43" t="n"/>
    </row>
    <row r="615" hidden="1" ht="58" customHeight="1">
      <c r="A615" s="35" t="n">
        <v>607</v>
      </c>
      <c r="B615" s="40" t="inlineStr">
        <is>
          <t>J-BC-TR-S-0.8</t>
        </is>
      </c>
      <c r="C615" s="36" t="inlineStr">
        <is>
          <t>Penggalian dengan kondisi tanah Padas/Cadas termasuk pengurugan dan perbaikan kembali bekas galian dengan permukaan cor beton 1:2:3 (lebar30cm, ketebalan 40cm) dengan kedalaman minimal 80 cm</t>
        </is>
      </c>
      <c r="D615" s="35" t="inlineStr">
        <is>
          <t>meter</t>
        </is>
      </c>
      <c r="E615" s="42" t="n">
        <v>0</v>
      </c>
      <c r="F615" s="37" t="n">
        <v>115930</v>
      </c>
      <c r="G615" s="68" t="n"/>
      <c r="H615" s="68">
        <f>E615*G615</f>
        <v/>
      </c>
      <c r="I615" s="68">
        <f>F615*G615</f>
        <v/>
      </c>
      <c r="J615" s="68">
        <f>SUM(H615:I615)</f>
        <v/>
      </c>
      <c r="K615" s="43" t="n"/>
    </row>
    <row r="616" hidden="1" ht="43.5" customHeight="1">
      <c r="A616" s="35" t="n">
        <v>608</v>
      </c>
      <c r="B616" s="35" t="inlineStr">
        <is>
          <t>BC-TR-S-1</t>
        </is>
      </c>
      <c r="C616" s="36" t="inlineStr">
        <is>
          <t>Penggalian dengan kondisi tanah Padas/Cadas termasuk pengurugan dan perbaikan kembali bekas galian dengan kedalaman minimal 100 cm</t>
        </is>
      </c>
      <c r="D616" s="35" t="inlineStr">
        <is>
          <t>meter</t>
        </is>
      </c>
      <c r="E616" s="37" t="n">
        <v>0</v>
      </c>
      <c r="F616" s="37" t="n">
        <v>137687</v>
      </c>
      <c r="G616" s="68" t="n"/>
      <c r="H616" s="68">
        <f>E616*G616</f>
        <v/>
      </c>
      <c r="I616" s="68">
        <f>F616*G616</f>
        <v/>
      </c>
      <c r="J616" s="68">
        <f>SUM(H616:I616)</f>
        <v/>
      </c>
      <c r="K616" s="43" t="n"/>
    </row>
    <row r="617" hidden="1" ht="43.5" customHeight="1">
      <c r="A617" s="35" t="n">
        <v>609</v>
      </c>
      <c r="B617" s="40" t="inlineStr">
        <is>
          <t>J-BC-TR-S-1</t>
        </is>
      </c>
      <c r="C617" s="36" t="inlineStr">
        <is>
          <t>Penggalian dengan kondisi tanah Padas/Cadas termasuk pengurugan dan perbaikan kembali bekas galian dengan kedalaman minimal 100 cm</t>
        </is>
      </c>
      <c r="D617" s="35" t="inlineStr">
        <is>
          <t>meter</t>
        </is>
      </c>
      <c r="E617" s="42" t="n">
        <v>0</v>
      </c>
      <c r="F617" s="37" t="n">
        <v>137687</v>
      </c>
      <c r="G617" s="68" t="n"/>
      <c r="H617" s="68">
        <f>E617*G617</f>
        <v/>
      </c>
      <c r="I617" s="68">
        <f>F617*G617</f>
        <v/>
      </c>
      <c r="J617" s="68">
        <f>SUM(H617:I617)</f>
        <v/>
      </c>
      <c r="K617" s="43" t="n"/>
    </row>
    <row r="618" hidden="1" ht="43.5" customHeight="1">
      <c r="A618" s="35" t="n">
        <v>610</v>
      </c>
      <c r="B618" s="35" t="inlineStr">
        <is>
          <t>BC-TR-S-2</t>
        </is>
      </c>
      <c r="C618" s="36" t="inlineStr">
        <is>
          <t>Penggalian dengan kondisi tanah Padas/Cadas termasuk pengurugan dan perbaikan kembali bekas galian dengan kedalaman minimal 120 cm</t>
        </is>
      </c>
      <c r="D618" s="35" t="inlineStr">
        <is>
          <t>meter</t>
        </is>
      </c>
      <c r="E618" s="37" t="n">
        <v>0</v>
      </c>
      <c r="F618" s="37" t="n">
        <v>156649</v>
      </c>
      <c r="G618" s="68" t="n"/>
      <c r="H618" s="68">
        <f>E618*G618</f>
        <v/>
      </c>
      <c r="I618" s="68">
        <f>F618*G618</f>
        <v/>
      </c>
      <c r="J618" s="68">
        <f>SUM(H618:I618)</f>
        <v/>
      </c>
      <c r="K618" s="43" t="n"/>
    </row>
    <row r="619" hidden="1" ht="43.5" customHeight="1">
      <c r="A619" s="35" t="n">
        <v>611</v>
      </c>
      <c r="B619" s="40" t="inlineStr">
        <is>
          <t>J-BC-TR-S-2</t>
        </is>
      </c>
      <c r="C619" s="36" t="inlineStr">
        <is>
          <t>Penggalian dengan kondisi tanah Padas/Cadas termasuk pengurugan dan perbaikan kembali bekas galian dengan kedalaman minimal 120 cm</t>
        </is>
      </c>
      <c r="D619" s="35" t="inlineStr">
        <is>
          <t>meter</t>
        </is>
      </c>
      <c r="E619" s="42" t="n">
        <v>0</v>
      </c>
      <c r="F619" s="37" t="n">
        <v>156649</v>
      </c>
      <c r="G619" s="68" t="n"/>
      <c r="H619" s="68">
        <f>E619*G619</f>
        <v/>
      </c>
      <c r="I619" s="68">
        <f>F619*G619</f>
        <v/>
      </c>
      <c r="J619" s="68">
        <f>SUM(H619:I619)</f>
        <v/>
      </c>
      <c r="K619" s="43" t="n"/>
    </row>
    <row r="620" hidden="1" ht="43.5" customHeight="1">
      <c r="A620" s="35" t="n">
        <v>612</v>
      </c>
      <c r="B620" s="35" t="inlineStr">
        <is>
          <t>BC-TR-S-3</t>
        </is>
      </c>
      <c r="C620" s="36" t="inlineStr">
        <is>
          <t>Penggalian dengan kondisi tanah Padas/Cadas termasuk pengurugan dan perbaikan kembali bekas galian dengan kedalaman minimal 130 cm</t>
        </is>
      </c>
      <c r="D620" s="35" t="inlineStr">
        <is>
          <t>meter</t>
        </is>
      </c>
      <c r="E620" s="37" t="n">
        <v>0</v>
      </c>
      <c r="F620" s="37" t="n">
        <v>162215</v>
      </c>
      <c r="G620" s="68" t="n"/>
      <c r="H620" s="68">
        <f>E620*G620</f>
        <v/>
      </c>
      <c r="I620" s="68">
        <f>F620*G620</f>
        <v/>
      </c>
      <c r="J620" s="68">
        <f>SUM(H620:I620)</f>
        <v/>
      </c>
      <c r="K620" s="43" t="n"/>
    </row>
    <row r="621" hidden="1" ht="43.5" customHeight="1">
      <c r="A621" s="35" t="n">
        <v>613</v>
      </c>
      <c r="B621" s="40" t="inlineStr">
        <is>
          <t>J-BC-TR-S-3</t>
        </is>
      </c>
      <c r="C621" s="36" t="inlineStr">
        <is>
          <t>Penggalian dengan kondisi tanah Padas/Cadas termasuk pengurugan dan perbaikan kembali bekas galian dengan kedalaman minimal 130 cm</t>
        </is>
      </c>
      <c r="D621" s="35" t="inlineStr">
        <is>
          <t>meter</t>
        </is>
      </c>
      <c r="E621" s="42" t="n">
        <v>0</v>
      </c>
      <c r="F621" s="37" t="n">
        <v>162215</v>
      </c>
      <c r="G621" s="68" t="n"/>
      <c r="H621" s="68">
        <f>E621*G621</f>
        <v/>
      </c>
      <c r="I621" s="68">
        <f>F621*G621</f>
        <v/>
      </c>
      <c r="J621" s="68">
        <f>SUM(H621:I621)</f>
        <v/>
      </c>
      <c r="K621" s="43" t="n"/>
    </row>
    <row r="622" hidden="1" ht="43.5" customHeight="1">
      <c r="A622" s="35" t="n">
        <v>614</v>
      </c>
      <c r="B622" s="35" t="inlineStr">
        <is>
          <t>BC-TR-S-4</t>
        </is>
      </c>
      <c r="C622" s="36" t="inlineStr">
        <is>
          <t>Penggalian dengan kondisi tanah Padas/Cadas termasuk pengurugan dan perbaikan kembali bekas galian dengan kedalaman minimal 140 cm</t>
        </is>
      </c>
      <c r="D622" s="35" t="inlineStr">
        <is>
          <t>meter</t>
        </is>
      </c>
      <c r="E622" s="37" t="n">
        <v>0</v>
      </c>
      <c r="F622" s="37" t="n">
        <v>167780</v>
      </c>
      <c r="G622" s="68" t="n"/>
      <c r="H622" s="68">
        <f>E622*G622</f>
        <v/>
      </c>
      <c r="I622" s="68">
        <f>F622*G622</f>
        <v/>
      </c>
      <c r="J622" s="68">
        <f>SUM(H622:I622)</f>
        <v/>
      </c>
      <c r="K622" s="43" t="n"/>
    </row>
    <row r="623" hidden="1" ht="43.5" customHeight="1">
      <c r="A623" s="35" t="n">
        <v>615</v>
      </c>
      <c r="B623" s="40" t="inlineStr">
        <is>
          <t>J-BC-TR-S-4</t>
        </is>
      </c>
      <c r="C623" s="36" t="inlineStr">
        <is>
          <t>Penggalian dengan kondisi tanah Padas/Cadas termasuk pengurugan dan perbaikan kembali bekas galian dengan kedalaman minimal 140 cm</t>
        </is>
      </c>
      <c r="D623" s="35" t="inlineStr">
        <is>
          <t>meter</t>
        </is>
      </c>
      <c r="E623" s="42" t="n">
        <v>0</v>
      </c>
      <c r="F623" s="37" t="n">
        <v>167780</v>
      </c>
      <c r="G623" s="68" t="n"/>
      <c r="H623" s="68">
        <f>E623*G623</f>
        <v/>
      </c>
      <c r="I623" s="68">
        <f>F623*G623</f>
        <v/>
      </c>
      <c r="J623" s="68">
        <f>SUM(H623:I623)</f>
        <v/>
      </c>
      <c r="K623" s="43" t="n"/>
    </row>
    <row r="624" hidden="1" ht="43.5" customHeight="1">
      <c r="A624" s="35" t="n">
        <v>616</v>
      </c>
      <c r="B624" s="35" t="inlineStr">
        <is>
          <t>BC-TR-S-5</t>
        </is>
      </c>
      <c r="C624" s="36" t="inlineStr">
        <is>
          <t>Penggalian dengan kondisi tanah Padas/Cadas termasuk pengurugan dan perbaikan kembali bekas galian dengan kedalaman minimal 150 cm</t>
        </is>
      </c>
      <c r="D624" s="35" t="inlineStr">
        <is>
          <t>meter</t>
        </is>
      </c>
      <c r="E624" s="37" t="n">
        <v>0</v>
      </c>
      <c r="F624" s="37" t="n">
        <v>173346</v>
      </c>
      <c r="G624" s="68" t="n"/>
      <c r="H624" s="68">
        <f>E624*G624</f>
        <v/>
      </c>
      <c r="I624" s="68">
        <f>F624*G624</f>
        <v/>
      </c>
      <c r="J624" s="68">
        <f>SUM(H624:I624)</f>
        <v/>
      </c>
      <c r="K624" s="43" t="n"/>
    </row>
    <row r="625" hidden="1" ht="43.5" customHeight="1">
      <c r="A625" s="35" t="n">
        <v>617</v>
      </c>
      <c r="B625" s="40" t="inlineStr">
        <is>
          <t>J-BC-TR-S-5</t>
        </is>
      </c>
      <c r="C625" s="36" t="inlineStr">
        <is>
          <t>Penggalian dengan kondisi tanah Padas/Cadas termasuk pengurugan dan perbaikan kembali bekas galian dengan kedalaman minimal 150 cm</t>
        </is>
      </c>
      <c r="D625" s="35" t="inlineStr">
        <is>
          <t>meter</t>
        </is>
      </c>
      <c r="E625" s="42" t="n">
        <v>0</v>
      </c>
      <c r="F625" s="37" t="n">
        <v>173346</v>
      </c>
      <c r="G625" s="68" t="n"/>
      <c r="H625" s="68">
        <f>E625*G625</f>
        <v/>
      </c>
      <c r="I625" s="68">
        <f>F625*G625</f>
        <v/>
      </c>
      <c r="J625" s="68">
        <f>SUM(H625:I625)</f>
        <v/>
      </c>
      <c r="K625" s="43" t="n"/>
    </row>
    <row r="626" hidden="1" ht="43.5" customHeight="1">
      <c r="A626" s="35" t="n">
        <v>618</v>
      </c>
      <c r="B626" s="35" t="inlineStr">
        <is>
          <t>PU-G6.0-35kg</t>
        </is>
      </c>
      <c r="C626" s="36" t="inlineStr">
        <is>
          <t>Pengadaen den Pemasangan Tieng Besl Galvanls 6m tanpa sambungan, berlkut cat dan cor pondesl (1:2:3) dengan kekuetan tank 35kg</t>
        </is>
      </c>
      <c r="D626" s="35" t="inlineStr">
        <is>
          <t>unit</t>
        </is>
      </c>
      <c r="E626" s="37" t="n">
        <v>1333038</v>
      </c>
      <c r="F626" s="37" t="n">
        <v>181875</v>
      </c>
      <c r="G626" s="68" t="n"/>
      <c r="H626" s="68">
        <f>E626*G626</f>
        <v/>
      </c>
      <c r="I626" s="68">
        <f>F626*G626</f>
        <v/>
      </c>
      <c r="J626" s="68">
        <f>SUM(H626:I626)</f>
        <v/>
      </c>
      <c r="K626" s="43" t="n"/>
    </row>
    <row r="627" hidden="1" ht="43.5" customHeight="1">
      <c r="A627" s="35" t="n">
        <v>619</v>
      </c>
      <c r="B627" s="40" t="inlineStr">
        <is>
          <t>M-PU-G6.0-35kg</t>
        </is>
      </c>
      <c r="C627" s="36" t="inlineStr">
        <is>
          <t>Pengadaen den Pemasangan Tieng Besl Galvanls 6m tanpa sambungan, berlkut cat dan cor pondesl (1:2:3) dengan kekuetan tank 35kg</t>
        </is>
      </c>
      <c r="D627" s="35" t="inlineStr">
        <is>
          <t>unit</t>
        </is>
      </c>
      <c r="E627" s="37" t="n">
        <v>1333038</v>
      </c>
      <c r="F627" s="42" t="n">
        <v>0</v>
      </c>
      <c r="G627" s="68" t="n"/>
      <c r="H627" s="68">
        <f>E627*G627</f>
        <v/>
      </c>
      <c r="I627" s="68">
        <f>F627*G627</f>
        <v/>
      </c>
      <c r="J627" s="68">
        <f>SUM(H627:I627)</f>
        <v/>
      </c>
      <c r="K627" s="43" t="n"/>
    </row>
    <row r="628" hidden="1" ht="43.5" customHeight="1">
      <c r="A628" s="35" t="n">
        <v>620</v>
      </c>
      <c r="B628" s="40" t="inlineStr">
        <is>
          <t>J-PU-G6.0-35kg</t>
        </is>
      </c>
      <c r="C628" s="36" t="inlineStr">
        <is>
          <t>Pengadaen den Pemasangan Tieng Besl Galvanls 6m tanpa sambungan, berlkut cat dan cor pondesl (1:2:3) dengan kekuetan tank 35kg</t>
        </is>
      </c>
      <c r="D628" s="35" t="inlineStr">
        <is>
          <t>unit</t>
        </is>
      </c>
      <c r="E628" s="42" t="n">
        <v>0</v>
      </c>
      <c r="F628" s="37" t="n">
        <v>181875</v>
      </c>
      <c r="G628" s="68" t="n"/>
      <c r="H628" s="68">
        <f>E628*G628</f>
        <v/>
      </c>
      <c r="I628" s="68">
        <f>F628*G628</f>
        <v/>
      </c>
      <c r="J628" s="68">
        <f>SUM(H628:I628)</f>
        <v/>
      </c>
      <c r="K628" s="43" t="n"/>
    </row>
    <row r="629" hidden="1" ht="29" customHeight="1">
      <c r="A629" s="35" t="n">
        <v>621</v>
      </c>
      <c r="B629" s="35" t="inlineStr">
        <is>
          <t>HS-PS-Exist</t>
        </is>
      </c>
      <c r="C629" s="36" t="inlineStr">
        <is>
          <t>Pengadaan den Pemasangan Slstem Gantung pads tiang ekslsting menggunaken kewet sling baja den klem due lubang</t>
        </is>
      </c>
      <c r="D629" s="35" t="inlineStr">
        <is>
          <t>meter</t>
        </is>
      </c>
      <c r="E629" s="37" t="n">
        <v>26675</v>
      </c>
      <c r="F629" s="37" t="n">
        <v>10890</v>
      </c>
      <c r="G629" s="68" t="n"/>
      <c r="H629" s="68">
        <f>E629*G629</f>
        <v/>
      </c>
      <c r="I629" s="68">
        <f>F629*G629</f>
        <v/>
      </c>
      <c r="J629" s="68">
        <f>SUM(H629:I629)</f>
        <v/>
      </c>
      <c r="K629" s="43" t="n"/>
    </row>
    <row r="630" hidden="1" ht="29" customHeight="1">
      <c r="A630" s="35" t="n">
        <v>622</v>
      </c>
      <c r="B630" s="40" t="inlineStr">
        <is>
          <t>M-HS-PS-Exist</t>
        </is>
      </c>
      <c r="C630" s="36" t="inlineStr">
        <is>
          <t>Pengadaan den Pemasangan Slstem Gantung pads tiang ekslsting menggunaken kewet sling baja den klem due lubang</t>
        </is>
      </c>
      <c r="D630" s="35" t="inlineStr">
        <is>
          <t>meter</t>
        </is>
      </c>
      <c r="E630" s="37" t="n">
        <v>26675</v>
      </c>
      <c r="F630" s="42" t="n">
        <v>0</v>
      </c>
      <c r="G630" s="68" t="n"/>
      <c r="H630" s="68">
        <f>E630*G630</f>
        <v/>
      </c>
      <c r="I630" s="68">
        <f>F630*G630</f>
        <v/>
      </c>
      <c r="J630" s="68">
        <f>SUM(H630:I630)</f>
        <v/>
      </c>
      <c r="K630" s="43" t="n"/>
    </row>
    <row r="631" hidden="1" ht="29" customHeight="1">
      <c r="A631" s="35" t="n">
        <v>623</v>
      </c>
      <c r="B631" s="40" t="inlineStr">
        <is>
          <t>J-HS-PS-Exist</t>
        </is>
      </c>
      <c r="C631" s="36" t="inlineStr">
        <is>
          <t>Pengadaan den Pemasangan Slstem Gantung pads tiang ekslsting menggunaken kewet sling baja den klem due lubang</t>
        </is>
      </c>
      <c r="D631" s="35" t="inlineStr">
        <is>
          <t>meter</t>
        </is>
      </c>
      <c r="E631" s="42" t="n">
        <v>0</v>
      </c>
      <c r="F631" s="37" t="n">
        <v>10890</v>
      </c>
      <c r="G631" s="68" t="n"/>
      <c r="H631" s="68">
        <f>E631*G631</f>
        <v/>
      </c>
      <c r="I631" s="68">
        <f>F631*G631</f>
        <v/>
      </c>
      <c r="J631" s="68">
        <f>SUM(H631:I631)</f>
        <v/>
      </c>
      <c r="K631" s="43" t="n"/>
    </row>
    <row r="632" ht="43.5" customHeight="1">
      <c r="A632" s="35" t="n">
        <v>624</v>
      </c>
      <c r="B632" s="35" t="inlineStr">
        <is>
          <t>PU-S7.0-400NM</t>
        </is>
      </c>
      <c r="C632" s="36" t="inlineStr">
        <is>
          <t>Pengadaan dan Pemasangan Tiang Besi Telekomunikasi 7 Meter dengan 2 Segmen untuk Kabel Distribusi berikut Cat &amp; Cor Pondasi (1:2:3) dengan Kekuatan Tarik 400 Newton Meter</t>
        </is>
      </c>
      <c r="D632" s="35" t="inlineStr">
        <is>
          <t>Unit</t>
        </is>
      </c>
      <c r="E632" s="37" t="n">
        <v>1056233</v>
      </c>
      <c r="F632" s="37" t="n">
        <v>226030</v>
      </c>
      <c r="G632" s="68" t="n">
        <v>10</v>
      </c>
      <c r="H632" s="68">
        <f>E632*G632</f>
        <v/>
      </c>
      <c r="I632" s="68">
        <f>F632*G632</f>
        <v/>
      </c>
      <c r="J632" s="68">
        <f>SUM(H632:I632)</f>
        <v/>
      </c>
      <c r="K632" s="43" t="n"/>
    </row>
    <row r="633" hidden="1" ht="43.5" customHeight="1">
      <c r="A633" s="35" t="n">
        <v>625</v>
      </c>
      <c r="B633" s="40" t="inlineStr">
        <is>
          <t>M-PU-S7.0-400NM</t>
        </is>
      </c>
      <c r="C633" s="36" t="inlineStr">
        <is>
          <t>Pengadaan dan Pemasangan Tiang Besi Telekomunikasi 7 Meter dengan 2 Segmen untuk Kabel Distribusi berikut Cat &amp; Cor Pondasi (1:2:3) dengan Kekuatan Tarik 400 Newton Meter</t>
        </is>
      </c>
      <c r="D633" s="35" t="inlineStr">
        <is>
          <t>Unit</t>
        </is>
      </c>
      <c r="E633" s="37" t="n">
        <v>1056233</v>
      </c>
      <c r="F633" s="42" t="n">
        <v>0</v>
      </c>
      <c r="G633" s="68" t="n"/>
      <c r="H633" s="68">
        <f>E633*G633</f>
        <v/>
      </c>
      <c r="I633" s="68">
        <f>F633*G633</f>
        <v/>
      </c>
      <c r="J633" s="68">
        <f>SUM(H633:I633)</f>
        <v/>
      </c>
      <c r="K633" s="43" t="n"/>
    </row>
    <row r="634" hidden="1" ht="43.5" customHeight="1">
      <c r="A634" s="35" t="n">
        <v>626</v>
      </c>
      <c r="B634" s="40" t="inlineStr">
        <is>
          <t>J-PU-S7.0-400NM</t>
        </is>
      </c>
      <c r="C634" s="36" t="inlineStr">
        <is>
          <t>Pengadaan dan Pemasangan Tiang Besi Telekomunikasi 7 Meter dengan 2 Segmen untuk Kabel Distribusi berikut Cat &amp; Cor Pondasi (1:2:3) dengan Kekuatan Tarik 400 Newton Meter</t>
        </is>
      </c>
      <c r="D634" s="35" t="inlineStr">
        <is>
          <t>Unit</t>
        </is>
      </c>
      <c r="E634" s="42" t="n">
        <v>0</v>
      </c>
      <c r="F634" s="37" t="n">
        <v>226030</v>
      </c>
      <c r="G634" s="68" t="n"/>
      <c r="H634" s="68">
        <f>E634*G634</f>
        <v/>
      </c>
      <c r="I634" s="68">
        <f>F634*G634</f>
        <v/>
      </c>
      <c r="J634" s="68">
        <f>SUM(H634:I634)</f>
        <v/>
      </c>
      <c r="K634" s="43" t="n"/>
    </row>
    <row r="635" hidden="1" ht="58" customHeight="1">
      <c r="A635" s="35" t="n">
        <v>627</v>
      </c>
      <c r="B635" s="35" t="inlineStr">
        <is>
          <t>BC-TR-A-0.4</t>
        </is>
      </c>
      <c r="C635" s="36" t="inlineStr">
        <is>
          <t>Pekerjaan galian pada permukaan jalan aspal yang bebas dari utilitas publik dengan lebar galian 8 cm dan kedalaman 40 cm, termasuk perbaikan, pengurugan (backfilling) menggunakan concrete type K225 dan pengaspalan</t>
        </is>
      </c>
      <c r="D635" s="35" t="inlineStr">
        <is>
          <t>meter</t>
        </is>
      </c>
      <c r="E635" s="37" t="n">
        <v>0</v>
      </c>
      <c r="F635" s="37" t="n">
        <v>188153</v>
      </c>
      <c r="G635" s="68" t="n"/>
      <c r="H635" s="68">
        <f>E635*G635</f>
        <v/>
      </c>
      <c r="I635" s="68">
        <f>F635*G635</f>
        <v/>
      </c>
      <c r="J635" s="68">
        <f>SUM(H635:I635)</f>
        <v/>
      </c>
      <c r="K635" s="43" t="n"/>
    </row>
    <row r="636" hidden="1" ht="58" customHeight="1">
      <c r="A636" s="35" t="n">
        <v>628</v>
      </c>
      <c r="B636" s="40" t="inlineStr">
        <is>
          <t>J-BC-TR-A-0.4</t>
        </is>
      </c>
      <c r="C636" s="36" t="inlineStr">
        <is>
          <t>Pekerjaan galian pada permukaan jalan aspal yang bebas dari utilitas publik dengan lebar galian 8 cm dan kedalaman 40 cm, termasuk perbaikan, pengurugan (backfilling) menggunakan concrete type K225 dan pengaspalan</t>
        </is>
      </c>
      <c r="D636" s="35" t="inlineStr">
        <is>
          <t>meter</t>
        </is>
      </c>
      <c r="E636" s="42" t="n">
        <v>0</v>
      </c>
      <c r="F636" s="37" t="n">
        <v>188153</v>
      </c>
      <c r="G636" s="68" t="n"/>
      <c r="H636" s="68">
        <f>E636*G636</f>
        <v/>
      </c>
      <c r="I636" s="68">
        <f>F636*G636</f>
        <v/>
      </c>
      <c r="J636" s="68">
        <f>SUM(H636:I636)</f>
        <v/>
      </c>
      <c r="K636" s="43" t="n"/>
    </row>
    <row r="637" hidden="1" ht="29" customHeight="1">
      <c r="A637" s="35" t="n">
        <v>629</v>
      </c>
      <c r="B637" s="35" t="inlineStr">
        <is>
          <t>Tray-Mesh-PVC</t>
        </is>
      </c>
      <c r="C637" s="36" t="inlineStr">
        <is>
          <t>Pengadaan dan pemasangan tray PVC wiring duct 45x65mm yang digunakan untuk jalur penarikan kabel fiber optik</t>
        </is>
      </c>
      <c r="D637" s="35" t="inlineStr">
        <is>
          <t>meter</t>
        </is>
      </c>
      <c r="E637" s="37" t="n">
        <v>32667</v>
      </c>
      <c r="F637" s="37" t="n">
        <v>44680</v>
      </c>
      <c r="G637" s="68" t="n"/>
      <c r="H637" s="68">
        <f>E637*G637</f>
        <v/>
      </c>
      <c r="I637" s="68">
        <f>F637*G637</f>
        <v/>
      </c>
      <c r="J637" s="68">
        <f>SUM(H637:I637)</f>
        <v/>
      </c>
      <c r="K637" s="43" t="n"/>
    </row>
    <row r="638" hidden="1" ht="29" customHeight="1">
      <c r="A638" s="35" t="n">
        <v>630</v>
      </c>
      <c r="B638" s="40" t="inlineStr">
        <is>
          <t>M-Tray-Mesh-PVC</t>
        </is>
      </c>
      <c r="C638" s="36" t="inlineStr">
        <is>
          <t>Pengadaan dan pemasangan tray PVC wiring duct 45x65mm yang digunakan untuk jalur penarikan kabel fiber optik</t>
        </is>
      </c>
      <c r="D638" s="35" t="inlineStr">
        <is>
          <t>meter</t>
        </is>
      </c>
      <c r="E638" s="37" t="n">
        <v>32667</v>
      </c>
      <c r="F638" s="42" t="n">
        <v>0</v>
      </c>
      <c r="G638" s="68" t="n"/>
      <c r="H638" s="68">
        <f>E638*G638</f>
        <v/>
      </c>
      <c r="I638" s="68">
        <f>F638*G638</f>
        <v/>
      </c>
      <c r="J638" s="68">
        <f>SUM(H638:I638)</f>
        <v/>
      </c>
      <c r="K638" s="43" t="n"/>
    </row>
    <row r="639" hidden="1" ht="29" customHeight="1">
      <c r="A639" s="35" t="n">
        <v>631</v>
      </c>
      <c r="B639" s="40" t="inlineStr">
        <is>
          <t>J-Tray-Mesh-PVC</t>
        </is>
      </c>
      <c r="C639" s="36" t="inlineStr">
        <is>
          <t>Pengadaan dan pemasangan tray PVC wiring duct 45x65mm yang digunakan untuk jalur penarikan kabel fiber optik</t>
        </is>
      </c>
      <c r="D639" s="35" t="inlineStr">
        <is>
          <t>meter</t>
        </is>
      </c>
      <c r="E639" s="42" t="n">
        <v>0</v>
      </c>
      <c r="F639" s="37" t="n">
        <v>44680</v>
      </c>
      <c r="G639" s="68" t="n"/>
      <c r="H639" s="68">
        <f>E639*G639</f>
        <v/>
      </c>
      <c r="I639" s="68">
        <f>F639*G639</f>
        <v/>
      </c>
      <c r="J639" s="68">
        <f>SUM(H639:I639)</f>
        <v/>
      </c>
      <c r="K639" s="43" t="n"/>
    </row>
    <row r="640" hidden="1" ht="29" customHeight="1">
      <c r="A640" s="35" t="n">
        <v>632</v>
      </c>
      <c r="B640" s="35" t="inlineStr">
        <is>
          <t>BR-L-150-200mm</t>
        </is>
      </c>
      <c r="C640" s="36" t="inlineStr">
        <is>
          <t>Pengadaan dan pemasangan bracket L atau siku panjang 155mm – 200mm</t>
        </is>
      </c>
      <c r="D640" s="35" t="inlineStr">
        <is>
          <t>Pcs</t>
        </is>
      </c>
      <c r="E640" s="37" t="n">
        <v>21465</v>
      </c>
      <c r="F640" s="37" t="n">
        <v>12067</v>
      </c>
      <c r="G640" s="68" t="n"/>
      <c r="H640" s="68">
        <f>E640*G640</f>
        <v/>
      </c>
      <c r="I640" s="68">
        <f>F640*G640</f>
        <v/>
      </c>
      <c r="J640" s="68">
        <f>SUM(H640:I640)</f>
        <v/>
      </c>
      <c r="K640" s="43" t="n"/>
    </row>
    <row r="641" hidden="1" ht="29" customHeight="1">
      <c r="A641" s="35" t="n">
        <v>633</v>
      </c>
      <c r="B641" s="40" t="inlineStr">
        <is>
          <t>M-BR-L-150-200mm</t>
        </is>
      </c>
      <c r="C641" s="36" t="inlineStr">
        <is>
          <t>Pengadaan dan pemasangan bracket L atau siku panjang 155mm – 200mm</t>
        </is>
      </c>
      <c r="D641" s="35" t="inlineStr">
        <is>
          <t>Pcs</t>
        </is>
      </c>
      <c r="E641" s="37" t="n">
        <v>21465</v>
      </c>
      <c r="F641" s="42" t="n">
        <v>0</v>
      </c>
      <c r="G641" s="68" t="n"/>
      <c r="H641" s="68">
        <f>E641*G641</f>
        <v/>
      </c>
      <c r="I641" s="68">
        <f>F641*G641</f>
        <v/>
      </c>
      <c r="J641" s="68">
        <f>SUM(H641:I641)</f>
        <v/>
      </c>
      <c r="K641" s="43" t="n"/>
    </row>
    <row r="642" hidden="1" ht="29" customHeight="1">
      <c r="A642" s="35" t="n">
        <v>634</v>
      </c>
      <c r="B642" s="40" t="inlineStr">
        <is>
          <t>J-BR-L-150-200mm</t>
        </is>
      </c>
      <c r="C642" s="36" t="inlineStr">
        <is>
          <t>Pengadaan dan pemasangan bracket L atau siku panjang 155mm – 200mm</t>
        </is>
      </c>
      <c r="D642" s="35" t="inlineStr">
        <is>
          <t>Pcs</t>
        </is>
      </c>
      <c r="E642" s="42" t="n">
        <v>0</v>
      </c>
      <c r="F642" s="37" t="n">
        <v>12067</v>
      </c>
      <c r="G642" s="68" t="n"/>
      <c r="H642" s="68">
        <f>E642*G642</f>
        <v/>
      </c>
      <c r="I642" s="68">
        <f>F642*G642</f>
        <v/>
      </c>
      <c r="J642" s="68">
        <f>SUM(H642:I642)</f>
        <v/>
      </c>
      <c r="K642" s="43" t="n"/>
    </row>
    <row r="643" hidden="1" ht="29" customHeight="1">
      <c r="A643" s="35" t="n">
        <v>635</v>
      </c>
      <c r="B643" s="35" t="inlineStr">
        <is>
          <t>PU-C7.0-150</t>
        </is>
      </c>
      <c r="C643" s="36" t="inlineStr">
        <is>
          <t>Pengadaan dan Pemasangan Tiang Beton 7 Meter dengan Kekuatan Tarik 150 Kg</t>
        </is>
      </c>
      <c r="D643" s="35" t="inlineStr">
        <is>
          <t>Unit</t>
        </is>
      </c>
      <c r="E643" s="37" t="n">
        <v>2117140</v>
      </c>
      <c r="F643" s="37" t="n">
        <v>596000</v>
      </c>
      <c r="G643" s="68" t="n"/>
      <c r="H643" s="68">
        <f>E643*G643</f>
        <v/>
      </c>
      <c r="I643" s="68">
        <f>F643*G643</f>
        <v/>
      </c>
      <c r="J643" s="68">
        <f>SUM(H643:I643)</f>
        <v/>
      </c>
      <c r="K643" s="43" t="n"/>
    </row>
    <row r="644" hidden="1" ht="29" customHeight="1">
      <c r="A644" s="35" t="n">
        <v>636</v>
      </c>
      <c r="B644" s="40" t="inlineStr">
        <is>
          <t>M-PU-C7.0-150</t>
        </is>
      </c>
      <c r="C644" s="36" t="inlineStr">
        <is>
          <t>Pengadaan dan Pemasangan Tiang Beton 7 Meter dengan Kekuatan Tarik 150 Kg</t>
        </is>
      </c>
      <c r="D644" s="35" t="inlineStr">
        <is>
          <t>Unit</t>
        </is>
      </c>
      <c r="E644" s="37" t="n">
        <v>2117140</v>
      </c>
      <c r="F644" s="42" t="n">
        <v>0</v>
      </c>
      <c r="G644" s="68" t="n"/>
      <c r="H644" s="68">
        <f>E644*G644</f>
        <v/>
      </c>
      <c r="I644" s="68">
        <f>F644*G644</f>
        <v/>
      </c>
      <c r="J644" s="68">
        <f>SUM(H644:I644)</f>
        <v/>
      </c>
      <c r="K644" s="43" t="n"/>
    </row>
    <row r="645" hidden="1" ht="29" customHeight="1">
      <c r="A645" s="35" t="n">
        <v>637</v>
      </c>
      <c r="B645" s="40" t="inlineStr">
        <is>
          <t>J-PU-C7.0-150</t>
        </is>
      </c>
      <c r="C645" s="36" t="inlineStr">
        <is>
          <t>Pengadaan dan Pemasangan Tiang Beton 7 Meter dengan Kekuatan Tarik 150 Kg</t>
        </is>
      </c>
      <c r="D645" s="35" t="inlineStr">
        <is>
          <t>Unit</t>
        </is>
      </c>
      <c r="E645" s="42" t="n">
        <v>0</v>
      </c>
      <c r="F645" s="37" t="n">
        <v>596000</v>
      </c>
      <c r="G645" s="68" t="n"/>
      <c r="H645" s="68">
        <f>E645*G645</f>
        <v/>
      </c>
      <c r="I645" s="68">
        <f>F645*G645</f>
        <v/>
      </c>
      <c r="J645" s="68">
        <f>SUM(H645:I645)</f>
        <v/>
      </c>
      <c r="K645" s="43" t="n"/>
    </row>
    <row r="646" hidden="1" ht="29" customHeight="1">
      <c r="A646" s="35" t="n">
        <v>638</v>
      </c>
      <c r="B646" s="35" t="inlineStr">
        <is>
          <t>PU-C9.0-150</t>
        </is>
      </c>
      <c r="C646" s="36" t="inlineStr">
        <is>
          <t>Pengadaan dan Pemasangan Tiang Beton 9 Meter dengan Kekuatan Tarik 150 Kg</t>
        </is>
      </c>
      <c r="D646" s="35" t="inlineStr">
        <is>
          <t>Unit</t>
        </is>
      </c>
      <c r="E646" s="37" t="n">
        <v>2861643</v>
      </c>
      <c r="F646" s="37" t="n">
        <v>746000</v>
      </c>
      <c r="G646" s="68" t="n"/>
      <c r="H646" s="68">
        <f>E646*G646</f>
        <v/>
      </c>
      <c r="I646" s="68">
        <f>F646*G646</f>
        <v/>
      </c>
      <c r="J646" s="68">
        <f>SUM(H646:I646)</f>
        <v/>
      </c>
      <c r="K646" s="43" t="n"/>
    </row>
    <row r="647" hidden="1" ht="29" customHeight="1">
      <c r="A647" s="35" t="n">
        <v>639</v>
      </c>
      <c r="B647" s="40" t="inlineStr">
        <is>
          <t>M-PU-C9.0-150</t>
        </is>
      </c>
      <c r="C647" s="36" t="inlineStr">
        <is>
          <t>Pengadaan dan Pemasangan Tiang Beton 9 Meter dengan Kekuatan Tarik 150 Kg</t>
        </is>
      </c>
      <c r="D647" s="35" t="inlineStr">
        <is>
          <t>Unit</t>
        </is>
      </c>
      <c r="E647" s="37" t="n">
        <v>2861643</v>
      </c>
      <c r="F647" s="42" t="n">
        <v>0</v>
      </c>
      <c r="G647" s="68" t="n"/>
      <c r="H647" s="68">
        <f>E647*G647</f>
        <v/>
      </c>
      <c r="I647" s="68">
        <f>F647*G647</f>
        <v/>
      </c>
      <c r="J647" s="68">
        <f>SUM(H647:I647)</f>
        <v/>
      </c>
      <c r="K647" s="43" t="n"/>
    </row>
    <row r="648" hidden="1" ht="29" customHeight="1">
      <c r="A648" s="35" t="n">
        <v>640</v>
      </c>
      <c r="B648" s="40" t="inlineStr">
        <is>
          <t>J-PU-C9.0-150</t>
        </is>
      </c>
      <c r="C648" s="36" t="inlineStr">
        <is>
          <t>Pengadaan dan Pemasangan Tiang Beton 9 Meter dengan Kekuatan Tarik 150 Kg</t>
        </is>
      </c>
      <c r="D648" s="35" t="inlineStr">
        <is>
          <t>Unit</t>
        </is>
      </c>
      <c r="E648" s="42" t="n">
        <v>0</v>
      </c>
      <c r="F648" s="37" t="n">
        <v>746000</v>
      </c>
      <c r="G648" s="68" t="n"/>
      <c r="H648" s="68">
        <f>E648*G648</f>
        <v/>
      </c>
      <c r="I648" s="68">
        <f>F648*G648</f>
        <v/>
      </c>
      <c r="J648" s="68">
        <f>SUM(H648:I648)</f>
        <v/>
      </c>
      <c r="K648" s="43" t="n"/>
    </row>
    <row r="649" ht="29" customHeight="1">
      <c r="A649" s="35" t="n">
        <v>641</v>
      </c>
      <c r="B649" s="35" t="inlineStr">
        <is>
          <t>AC-OF-SM-ADSS-12D</t>
        </is>
      </c>
      <c r="C649" s="36" t="inlineStr">
        <is>
          <t>Pengadaan dan Pemasangan Kabel Udara Fiber Optik All Dielectric Self Supporting Cable (ADSS) Single Mode 12 Core G.652.D</t>
        </is>
      </c>
      <c r="D649" s="35" t="inlineStr">
        <is>
          <t>meter</t>
        </is>
      </c>
      <c r="E649" s="37" t="n">
        <v>6043</v>
      </c>
      <c r="F649" s="37" t="n">
        <v>4307</v>
      </c>
      <c r="G649" s="68" t="n">
        <v>778</v>
      </c>
      <c r="H649" s="68">
        <f>E649*G649</f>
        <v/>
      </c>
      <c r="I649" s="68">
        <f>F649*G649</f>
        <v/>
      </c>
      <c r="J649" s="68">
        <f>SUM(H649:I649)</f>
        <v/>
      </c>
      <c r="K649" s="43" t="n"/>
    </row>
    <row r="650" hidden="1" ht="29" customHeight="1">
      <c r="A650" s="35" t="n">
        <v>642</v>
      </c>
      <c r="B650" s="40" t="inlineStr">
        <is>
          <t>M-AC-OF-SM-ADSS-12D</t>
        </is>
      </c>
      <c r="C650" s="36" t="inlineStr">
        <is>
          <t>Pengadaan dan Pemasangan Kabel Udara Fiber Optik All Dielectric Self Supporting Cable (ADSS) Single Mode 12 Core G.652.D</t>
        </is>
      </c>
      <c r="D650" s="35" t="inlineStr">
        <is>
          <t>meter</t>
        </is>
      </c>
      <c r="E650" s="37" t="n">
        <v>6043</v>
      </c>
      <c r="F650" s="42" t="n">
        <v>0</v>
      </c>
      <c r="G650" s="68" t="n">
        <v>710.11</v>
      </c>
      <c r="H650" s="68">
        <f>E650*G650</f>
        <v/>
      </c>
      <c r="I650" s="68">
        <f>F650*G650</f>
        <v/>
      </c>
      <c r="J650" s="68">
        <f>SUM(H650:I650)</f>
        <v/>
      </c>
      <c r="K650" s="43" t="n"/>
    </row>
    <row r="651" hidden="1" ht="29" customHeight="1">
      <c r="A651" s="35" t="n">
        <v>643</v>
      </c>
      <c r="B651" s="40" t="inlineStr">
        <is>
          <t>J-AC-OF-SM-ADSS-12D</t>
        </is>
      </c>
      <c r="C651" s="36" t="inlineStr">
        <is>
          <t>Pengadaan dan Pemasangan Kabel Udara Fiber Optik All Dielectric Self Supporting Cable (ADSS) Single Mode 12 Core G.652.D</t>
        </is>
      </c>
      <c r="D651" s="35" t="inlineStr">
        <is>
          <t>meter</t>
        </is>
      </c>
      <c r="E651" s="42" t="n">
        <v>0</v>
      </c>
      <c r="F651" s="37" t="n">
        <v>4307</v>
      </c>
      <c r="G651" s="68" t="n">
        <v>710.11</v>
      </c>
      <c r="H651" s="68">
        <f>E651*G651</f>
        <v/>
      </c>
      <c r="I651" s="68">
        <f>F651*G651</f>
        <v/>
      </c>
      <c r="J651" s="68">
        <f>SUM(H651:I651)</f>
        <v/>
      </c>
      <c r="K651" s="43" t="n"/>
    </row>
    <row r="652" hidden="1" ht="29" customHeight="1">
      <c r="A652" s="35" t="n">
        <v>644</v>
      </c>
      <c r="B652" s="35" t="inlineStr">
        <is>
          <t>AC-OF-SM-ADSS-24D</t>
        </is>
      </c>
      <c r="C652" s="36" t="inlineStr">
        <is>
          <t>Pengadaan dan Pemasangan Kabel Udara Fiber Optik All Dielectric Self Supporting Cable (ADSS) Single Mode 24 Core G.652.D</t>
        </is>
      </c>
      <c r="D652" s="35" t="inlineStr">
        <is>
          <t>meter</t>
        </is>
      </c>
      <c r="E652" s="37" t="n">
        <v>7086</v>
      </c>
      <c r="F652" s="37" t="n">
        <v>4307</v>
      </c>
      <c r="G652" s="68" t="n"/>
      <c r="H652" s="68">
        <f>E652*G652</f>
        <v/>
      </c>
      <c r="I652" s="68">
        <f>F652*G652</f>
        <v/>
      </c>
      <c r="J652" s="68">
        <f>SUM(H652:I652)</f>
        <v/>
      </c>
      <c r="K652" s="43" t="n"/>
    </row>
    <row r="653" hidden="1" ht="29" customHeight="1">
      <c r="A653" s="35" t="n">
        <v>645</v>
      </c>
      <c r="B653" s="40" t="inlineStr">
        <is>
          <t>M-AC-OF-SM-ADSS-24D</t>
        </is>
      </c>
      <c r="C653" s="36" t="inlineStr">
        <is>
          <t>Pengadaan dan Pemasangan Kabel Udara Fiber Optik All Dielectric Self Supporting Cable (ADSS) Single Mode 24 Core G.652.D</t>
        </is>
      </c>
      <c r="D653" s="35" t="inlineStr">
        <is>
          <t>meter</t>
        </is>
      </c>
      <c r="E653" s="37" t="n">
        <v>7086</v>
      </c>
      <c r="F653" s="42" t="n">
        <v>0</v>
      </c>
      <c r="G653" s="68" t="n"/>
      <c r="H653" s="68">
        <f>E653*G653</f>
        <v/>
      </c>
      <c r="I653" s="68">
        <f>F653*G653</f>
        <v/>
      </c>
      <c r="J653" s="68">
        <f>SUM(H653:I653)</f>
        <v/>
      </c>
      <c r="K653" s="43" t="n"/>
    </row>
    <row r="654" hidden="1" ht="29" customHeight="1">
      <c r="A654" s="35" t="n">
        <v>646</v>
      </c>
      <c r="B654" s="40" t="inlineStr">
        <is>
          <t>J-AC-OF-SM-ADSS-24D</t>
        </is>
      </c>
      <c r="C654" s="36" t="inlineStr">
        <is>
          <t>Pengadaan dan Pemasangan Kabel Udara Fiber Optik All Dielectric Self Supporting Cable (ADSS) Single Mode 24 Core G.652.D</t>
        </is>
      </c>
      <c r="D654" s="35" t="inlineStr">
        <is>
          <t>meter</t>
        </is>
      </c>
      <c r="E654" s="42" t="n">
        <v>0</v>
      </c>
      <c r="F654" s="37" t="n">
        <v>4307</v>
      </c>
      <c r="G654" s="68" t="n"/>
      <c r="H654" s="68">
        <f>E654*G654</f>
        <v/>
      </c>
      <c r="I654" s="68">
        <f>F654*G654</f>
        <v/>
      </c>
      <c r="J654" s="68">
        <f>SUM(H654:I654)</f>
        <v/>
      </c>
      <c r="K654" s="43" t="n"/>
    </row>
    <row r="655" hidden="1" ht="29" customHeight="1">
      <c r="A655" s="35" t="n">
        <v>647</v>
      </c>
      <c r="B655" s="35" t="inlineStr">
        <is>
          <t>AC-OF-SM-ADSS-48D</t>
        </is>
      </c>
      <c r="C655" s="36" t="inlineStr">
        <is>
          <t>Pengadaan dan Pemasangan Kabel Udara Fiber Optik All Dielectric Self Supporting Cable (ADSS) Single Mode 48 Core G.652.D</t>
        </is>
      </c>
      <c r="D655" s="35" t="inlineStr">
        <is>
          <t>meter</t>
        </is>
      </c>
      <c r="E655" s="37" t="n">
        <v>10854</v>
      </c>
      <c r="F655" s="37" t="n">
        <v>4307</v>
      </c>
      <c r="G655" s="68" t="n"/>
      <c r="H655" s="68">
        <f>E655*G655</f>
        <v/>
      </c>
      <c r="I655" s="68">
        <f>F655*G655</f>
        <v/>
      </c>
      <c r="J655" s="68">
        <f>SUM(H655:I655)</f>
        <v/>
      </c>
      <c r="K655" s="43" t="n"/>
    </row>
    <row r="656" hidden="1" ht="29" customHeight="1">
      <c r="A656" s="35" t="n">
        <v>648</v>
      </c>
      <c r="B656" s="40" t="inlineStr">
        <is>
          <t>M-AC-OF-SM-ADSS-48D</t>
        </is>
      </c>
      <c r="C656" s="36" t="inlineStr">
        <is>
          <t>Pengadaan dan Pemasangan Kabel Udara Fiber Optik All Dielectric Self Supporting Cable (ADSS) Single Mode 48 Core G.652.D</t>
        </is>
      </c>
      <c r="D656" s="35" t="inlineStr">
        <is>
          <t>meter</t>
        </is>
      </c>
      <c r="E656" s="37" t="n">
        <v>10854</v>
      </c>
      <c r="F656" s="42" t="n">
        <v>0</v>
      </c>
      <c r="G656" s="68" t="n"/>
      <c r="H656" s="68">
        <f>E656*G656</f>
        <v/>
      </c>
      <c r="I656" s="68">
        <f>F656*G656</f>
        <v/>
      </c>
      <c r="J656" s="68">
        <f>SUM(H656:I656)</f>
        <v/>
      </c>
      <c r="K656" s="43" t="n"/>
    </row>
    <row r="657" hidden="1" ht="29" customHeight="1">
      <c r="A657" s="35" t="n">
        <v>649</v>
      </c>
      <c r="B657" s="40" t="inlineStr">
        <is>
          <t>J-AC-OF-SM-ADSS-48D</t>
        </is>
      </c>
      <c r="C657" s="36" t="inlineStr">
        <is>
          <t>Pengadaan dan Pemasangan Kabel Udara Fiber Optik All Dielectric Self Supporting Cable (ADSS) Single Mode 48 Core G.652.D</t>
        </is>
      </c>
      <c r="D657" s="35" t="inlineStr">
        <is>
          <t>meter</t>
        </is>
      </c>
      <c r="E657" s="42" t="n">
        <v>0</v>
      </c>
      <c r="F657" s="37" t="n">
        <v>4307</v>
      </c>
      <c r="G657" s="68" t="n"/>
      <c r="H657" s="68">
        <f>E657*G657</f>
        <v/>
      </c>
      <c r="I657" s="68">
        <f>F657*G657</f>
        <v/>
      </c>
      <c r="J657" s="68">
        <f>SUM(H657:I657)</f>
        <v/>
      </c>
      <c r="K657" s="43" t="n"/>
    </row>
    <row r="658" hidden="1" ht="29" customHeight="1">
      <c r="A658" s="35" t="n">
        <v>650</v>
      </c>
      <c r="B658" s="35" t="inlineStr">
        <is>
          <t>AC-OF-SM-ADSS-96D</t>
        </is>
      </c>
      <c r="C658" s="36" t="inlineStr">
        <is>
          <t>Pengadaan dan Pemasangan Kabel Udara Fiber Optik All Dielectric Self Supporting Cable (ADSS) Single Mode 96 Core G.652.D</t>
        </is>
      </c>
      <c r="D658" s="35" t="inlineStr">
        <is>
          <t>meter</t>
        </is>
      </c>
      <c r="E658" s="37" t="n">
        <v>20207</v>
      </c>
      <c r="F658" s="37" t="n">
        <v>5028</v>
      </c>
      <c r="G658" s="68" t="n"/>
      <c r="H658" s="68">
        <f>E658*G658</f>
        <v/>
      </c>
      <c r="I658" s="68">
        <f>F658*G658</f>
        <v/>
      </c>
      <c r="J658" s="68">
        <f>SUM(H658:I658)</f>
        <v/>
      </c>
      <c r="K658" s="43" t="n"/>
    </row>
    <row r="659" hidden="1" ht="29" customHeight="1">
      <c r="A659" s="35" t="n">
        <v>651</v>
      </c>
      <c r="B659" s="40" t="inlineStr">
        <is>
          <t>M-AC-OF-SM-ADSS-96D</t>
        </is>
      </c>
      <c r="C659" s="36" t="inlineStr">
        <is>
          <t>Pengadaan dan Pemasangan Kabel Udara Fiber Optik All Dielectric Self Supporting Cable (ADSS) Single Mode 96 Core G.652.D</t>
        </is>
      </c>
      <c r="D659" s="35" t="inlineStr">
        <is>
          <t>meter</t>
        </is>
      </c>
      <c r="E659" s="37" t="n">
        <v>20207</v>
      </c>
      <c r="F659" s="42" t="n">
        <v>0</v>
      </c>
      <c r="G659" s="68" t="n"/>
      <c r="H659" s="68">
        <f>E659*G659</f>
        <v/>
      </c>
      <c r="I659" s="68">
        <f>F659*G659</f>
        <v/>
      </c>
      <c r="J659" s="68">
        <f>SUM(H659:I659)</f>
        <v/>
      </c>
      <c r="K659" s="43" t="n"/>
    </row>
    <row r="660" hidden="1" ht="29" customHeight="1">
      <c r="A660" s="35" t="n">
        <v>652</v>
      </c>
      <c r="B660" s="40" t="inlineStr">
        <is>
          <t>J-AC-OF-SM-ADSS-96D</t>
        </is>
      </c>
      <c r="C660" s="36" t="inlineStr">
        <is>
          <t>Pengadaan dan Pemasangan Kabel Udara Fiber Optik All Dielectric Self Supporting Cable (ADSS) Single Mode 96 Core G.652.D</t>
        </is>
      </c>
      <c r="D660" s="35" t="inlineStr">
        <is>
          <t>meter</t>
        </is>
      </c>
      <c r="E660" s="42" t="n">
        <v>0</v>
      </c>
      <c r="F660" s="37" t="n">
        <v>5028</v>
      </c>
      <c r="G660" s="68" t="n"/>
      <c r="H660" s="68">
        <f>E660*G660</f>
        <v/>
      </c>
      <c r="I660" s="68">
        <f>F660*G660</f>
        <v/>
      </c>
      <c r="J660" s="68">
        <f>SUM(H660:I660)</f>
        <v/>
      </c>
      <c r="K660" s="43" t="n"/>
    </row>
    <row r="661" hidden="1" ht="29" customHeight="1">
      <c r="A661" s="35" t="n">
        <v>653</v>
      </c>
      <c r="B661" s="35" t="inlineStr">
        <is>
          <t>PU-AS-DE-50/70</t>
        </is>
      </c>
      <c r="C661" s="36" t="inlineStr">
        <is>
          <t>Pengadaan dan Pemasangan Aksesoris Tiang Helical Dead-End Clamp untuk Kabel ADSS ukuran 50/70</t>
        </is>
      </c>
      <c r="D661" s="35" t="inlineStr">
        <is>
          <t>pcs</t>
        </is>
      </c>
      <c r="E661" s="37" t="n">
        <v>16500</v>
      </c>
      <c r="F661" s="37" t="n">
        <v>8253</v>
      </c>
      <c r="G661" s="68" t="n"/>
      <c r="H661" s="68">
        <f>E661*G661</f>
        <v/>
      </c>
      <c r="I661" s="68">
        <f>F661*G661</f>
        <v/>
      </c>
      <c r="J661" s="68">
        <f>SUM(H661:I661)</f>
        <v/>
      </c>
      <c r="K661" s="43" t="n"/>
    </row>
    <row r="662" hidden="1" ht="29" customHeight="1">
      <c r="A662" s="35" t="n">
        <v>654</v>
      </c>
      <c r="B662" s="40" t="inlineStr">
        <is>
          <t>M-PU-AS-DE-50/70</t>
        </is>
      </c>
      <c r="C662" s="36" t="inlineStr">
        <is>
          <t>Pengadaan dan Pemasangan Aksesoris Tiang Helical Dead-End Clamp untuk Kabel ADSS ukuran 50/70</t>
        </is>
      </c>
      <c r="D662" s="35" t="inlineStr">
        <is>
          <t>pcs</t>
        </is>
      </c>
      <c r="E662" s="37" t="n">
        <v>16500</v>
      </c>
      <c r="F662" s="42" t="n">
        <v>0</v>
      </c>
      <c r="G662" s="68" t="n"/>
      <c r="H662" s="68">
        <f>E662*G662</f>
        <v/>
      </c>
      <c r="I662" s="68">
        <f>F662*G662</f>
        <v/>
      </c>
      <c r="J662" s="68">
        <f>SUM(H662:I662)</f>
        <v/>
      </c>
      <c r="K662" s="43" t="n"/>
    </row>
    <row r="663" hidden="1" ht="29" customHeight="1">
      <c r="A663" s="35" t="n">
        <v>655</v>
      </c>
      <c r="B663" s="40" t="inlineStr">
        <is>
          <t>J-PU-AS-DE-50/70</t>
        </is>
      </c>
      <c r="C663" s="36" t="inlineStr">
        <is>
          <t>Pengadaan dan Pemasangan Aksesoris Tiang Helical Dead-End Clamp untuk Kabel ADSS ukuran 50/70</t>
        </is>
      </c>
      <c r="D663" s="35" t="inlineStr">
        <is>
          <t>pcs</t>
        </is>
      </c>
      <c r="E663" s="42" t="n">
        <v>0</v>
      </c>
      <c r="F663" s="37" t="n">
        <v>8253</v>
      </c>
      <c r="G663" s="68" t="n"/>
      <c r="H663" s="68">
        <f>E663*G663</f>
        <v/>
      </c>
      <c r="I663" s="68">
        <f>F663*G663</f>
        <v/>
      </c>
      <c r="J663" s="68">
        <f>SUM(H663:I663)</f>
        <v/>
      </c>
      <c r="K663" s="43" t="n"/>
    </row>
    <row r="664" ht="29" customHeight="1">
      <c r="A664" s="35" t="n">
        <v>656</v>
      </c>
      <c r="B664" s="35" t="inlineStr">
        <is>
          <t>PU-AS-SC</t>
        </is>
      </c>
      <c r="C664" s="36" t="inlineStr">
        <is>
          <t>Pengadaan dan Pemasangan Aksesoris Tiang Suspension Clamp Corong untuk Kabel ADSS</t>
        </is>
      </c>
      <c r="D664" s="35" t="inlineStr">
        <is>
          <t>pcs</t>
        </is>
      </c>
      <c r="E664" s="37" t="n">
        <v>15400</v>
      </c>
      <c r="F664" s="37" t="n">
        <v>8253</v>
      </c>
      <c r="G664" s="68" t="n">
        <v>14</v>
      </c>
      <c r="H664" s="68">
        <f>E664*G664</f>
        <v/>
      </c>
      <c r="I664" s="68">
        <f>F664*G664</f>
        <v/>
      </c>
      <c r="J664" s="68">
        <f>SUM(H664:I664)</f>
        <v/>
      </c>
      <c r="K664" s="43" t="n"/>
    </row>
    <row r="665" hidden="1" ht="29" customHeight="1">
      <c r="A665" s="35" t="n">
        <v>657</v>
      </c>
      <c r="B665" s="40" t="inlineStr">
        <is>
          <t>M-PU-AS-SC</t>
        </is>
      </c>
      <c r="C665" s="36" t="inlineStr">
        <is>
          <t>Pengadaan dan Pemasangan Aksesoris Tiang Suspension Clamp Corong untuk Kabel ADSS</t>
        </is>
      </c>
      <c r="D665" s="35" t="inlineStr">
        <is>
          <t>pcs</t>
        </is>
      </c>
      <c r="E665" s="37" t="n">
        <v>15400</v>
      </c>
      <c r="F665" s="42" t="n">
        <v>0</v>
      </c>
      <c r="G665" s="68" t="n"/>
      <c r="H665" s="68">
        <f>E665*G665</f>
        <v/>
      </c>
      <c r="I665" s="68">
        <f>F665*G665</f>
        <v/>
      </c>
      <c r="J665" s="68">
        <f>SUM(H665:I665)</f>
        <v/>
      </c>
      <c r="K665" s="43" t="n"/>
    </row>
    <row r="666" hidden="1" ht="29" customHeight="1">
      <c r="A666" s="35" t="n">
        <v>658</v>
      </c>
      <c r="B666" s="40" t="inlineStr">
        <is>
          <t>J-PU-AS-SC</t>
        </is>
      </c>
      <c r="C666" s="36" t="inlineStr">
        <is>
          <t>Pengadaan dan Pemasangan Aksesoris Tiang Suspension Clamp Corong untuk Kabel ADSS</t>
        </is>
      </c>
      <c r="D666" s="35" t="inlineStr">
        <is>
          <t>pcs</t>
        </is>
      </c>
      <c r="E666" s="42" t="n">
        <v>0</v>
      </c>
      <c r="F666" s="37" t="n">
        <v>8253</v>
      </c>
      <c r="G666" s="68" t="n"/>
      <c r="H666" s="68">
        <f>E666*G666</f>
        <v/>
      </c>
      <c r="I666" s="68">
        <f>F666*G666</f>
        <v/>
      </c>
      <c r="J666" s="68">
        <f>SUM(H666:I666)</f>
        <v/>
      </c>
      <c r="K666" s="43" t="n"/>
    </row>
    <row r="667" ht="29" customHeight="1">
      <c r="A667" s="35" t="n">
        <v>659</v>
      </c>
      <c r="B667" s="35" t="inlineStr">
        <is>
          <t>PU-AS-HL</t>
        </is>
      </c>
      <c r="C667" s="36" t="inlineStr">
        <is>
          <t>Pengadaan dan Pemasangan Aksesoris Tiang Helical Performed Grip untuk Kabel ADSS</t>
        </is>
      </c>
      <c r="D667" s="35" t="inlineStr">
        <is>
          <t>pcs</t>
        </is>
      </c>
      <c r="E667" s="37" t="n">
        <v>15401</v>
      </c>
      <c r="F667" s="37" t="n">
        <v>8253</v>
      </c>
      <c r="G667" s="68" t="n">
        <v>5</v>
      </c>
      <c r="H667" s="68">
        <f>E667*G667</f>
        <v/>
      </c>
      <c r="I667" s="68">
        <f>F667*G667</f>
        <v/>
      </c>
      <c r="J667" s="68">
        <f>SUM(H667:I667)</f>
        <v/>
      </c>
      <c r="K667" s="43" t="n"/>
    </row>
    <row r="668" hidden="1" ht="29" customHeight="1">
      <c r="A668" s="35" t="n">
        <v>660</v>
      </c>
      <c r="B668" s="40" t="inlineStr">
        <is>
          <t>M-PU-AS-HL</t>
        </is>
      </c>
      <c r="C668" s="36" t="inlineStr">
        <is>
          <t>Pengadaan dan Pemasangan Aksesoris Tiang Helical Performed Grip untuk Kabel ADSS</t>
        </is>
      </c>
      <c r="D668" s="35" t="inlineStr">
        <is>
          <t>pcs</t>
        </is>
      </c>
      <c r="E668" s="37" t="n">
        <v>15401</v>
      </c>
      <c r="F668" s="42" t="n">
        <v>0</v>
      </c>
      <c r="G668" s="68" t="n"/>
      <c r="H668" s="68">
        <f>E668*G668</f>
        <v/>
      </c>
      <c r="I668" s="68">
        <f>F668*G668</f>
        <v/>
      </c>
      <c r="J668" s="68">
        <f>SUM(H668:I668)</f>
        <v/>
      </c>
      <c r="K668" s="43" t="n"/>
    </row>
    <row r="669" hidden="1" ht="29" customHeight="1">
      <c r="A669" s="35" t="n">
        <v>661</v>
      </c>
      <c r="B669" s="40" t="inlineStr">
        <is>
          <t>J-PU-AS-HL</t>
        </is>
      </c>
      <c r="C669" s="36" t="inlineStr">
        <is>
          <t>Pengadaan dan Pemasangan Aksesoris Tiang Helical Performed Grip untuk Kabel ADSS</t>
        </is>
      </c>
      <c r="D669" s="35" t="inlineStr">
        <is>
          <t>pcs</t>
        </is>
      </c>
      <c r="E669" s="42" t="n">
        <v>0</v>
      </c>
      <c r="F669" s="37" t="n">
        <v>8253</v>
      </c>
      <c r="G669" s="68" t="n"/>
      <c r="H669" s="68">
        <f>E669*G669</f>
        <v/>
      </c>
      <c r="I669" s="68">
        <f>F669*G669</f>
        <v/>
      </c>
      <c r="J669" s="68">
        <f>SUM(H669:I669)</f>
        <v/>
      </c>
      <c r="K669" s="43" t="n"/>
    </row>
    <row r="670" hidden="1" ht="29" customHeight="1">
      <c r="A670" s="35" t="n">
        <v>662</v>
      </c>
      <c r="B670" s="35" t="inlineStr">
        <is>
          <t>AC-OF-SM-1-3SL</t>
        </is>
      </c>
      <c r="C670" s="36" t="inlineStr">
        <is>
          <t>Pengadaan Dan Pemasangan Drop Cable FO 1 Core Single Mode G.657 dengan Penguat 3 Seling</t>
        </is>
      </c>
      <c r="D670" s="35" t="inlineStr">
        <is>
          <t>meter</t>
        </is>
      </c>
      <c r="E670" s="37" t="n">
        <v>1353</v>
      </c>
      <c r="F670" s="37" t="n">
        <v>1624</v>
      </c>
      <c r="G670" s="68" t="n"/>
      <c r="H670" s="68">
        <f>E670*G670</f>
        <v/>
      </c>
      <c r="I670" s="68">
        <f>F670*G670</f>
        <v/>
      </c>
      <c r="J670" s="68">
        <f>SUM(H670:I670)</f>
        <v/>
      </c>
      <c r="K670" s="43" t="n"/>
    </row>
    <row r="671" hidden="1" ht="29" customHeight="1">
      <c r="A671" s="35" t="n">
        <v>663</v>
      </c>
      <c r="B671" s="40" t="inlineStr">
        <is>
          <t>M-AC-OF-SM-1-3SL</t>
        </is>
      </c>
      <c r="C671" s="36" t="inlineStr">
        <is>
          <t>Pengadaan Dan Pemasangan Drop Cable FO 1 Core Single Mode G.657 dengan Penguat 3 Seling</t>
        </is>
      </c>
      <c r="D671" s="35" t="inlineStr">
        <is>
          <t>meter</t>
        </is>
      </c>
      <c r="E671" s="37" t="n">
        <v>1353</v>
      </c>
      <c r="F671" s="42" t="n">
        <v>0</v>
      </c>
      <c r="G671" s="68" t="n"/>
      <c r="H671" s="68">
        <f>E671*G671</f>
        <v/>
      </c>
      <c r="I671" s="68">
        <f>F671*G671</f>
        <v/>
      </c>
      <c r="J671" s="68">
        <f>SUM(H671:I671)</f>
        <v/>
      </c>
      <c r="K671" s="43" t="n"/>
    </row>
    <row r="672" hidden="1" ht="29" customHeight="1">
      <c r="A672" s="35" t="n">
        <v>664</v>
      </c>
      <c r="B672" s="40" t="inlineStr">
        <is>
          <t>J-AC-OF-SM-1-3SL</t>
        </is>
      </c>
      <c r="C672" s="36" t="inlineStr">
        <is>
          <t>Pengadaan Dan Pemasangan Drop Cable FO 1 Core Single Mode G.657 dengan Penguat 3 Seling</t>
        </is>
      </c>
      <c r="D672" s="35" t="inlineStr">
        <is>
          <t>meter</t>
        </is>
      </c>
      <c r="E672" s="42" t="n">
        <v>0</v>
      </c>
      <c r="F672" s="37" t="n">
        <v>1624</v>
      </c>
      <c r="G672" s="68" t="n"/>
      <c r="H672" s="68">
        <f>E672*G672</f>
        <v/>
      </c>
      <c r="I672" s="68">
        <f>F672*G672</f>
        <v/>
      </c>
      <c r="J672" s="68">
        <f>SUM(H672:I672)</f>
        <v/>
      </c>
      <c r="K672" s="43" t="n"/>
    </row>
    <row r="673" hidden="1" ht="14.5" customHeight="1">
      <c r="A673" s="35" t="n">
        <v>665</v>
      </c>
      <c r="B673" s="35" t="inlineStr">
        <is>
          <t>BKR-KU-FO-6-24</t>
        </is>
      </c>
      <c r="C673" s="36" t="inlineStr">
        <is>
          <t>PEMBONGKARAN KABEL UDARA FIBER OPTIK KAPASITAS 6-24 CORE</t>
        </is>
      </c>
      <c r="D673" s="35" t="inlineStr">
        <is>
          <t>meter</t>
        </is>
      </c>
      <c r="E673" s="37" t="n">
        <v>0</v>
      </c>
      <c r="F673" s="37" t="n">
        <v>720</v>
      </c>
      <c r="G673" s="68" t="n"/>
      <c r="H673" s="68">
        <f>E673*G673</f>
        <v/>
      </c>
      <c r="I673" s="68">
        <f>F673*G673</f>
        <v/>
      </c>
      <c r="J673" s="68">
        <f>SUM(H673:I673)</f>
        <v/>
      </c>
      <c r="K673" s="43" t="n"/>
    </row>
    <row r="674" hidden="1" ht="14.5" customHeight="1">
      <c r="A674" s="35" t="n">
        <v>666</v>
      </c>
      <c r="B674" s="40" t="inlineStr">
        <is>
          <t>J-BKR-KU-FO-6-24</t>
        </is>
      </c>
      <c r="C674" s="36" t="inlineStr">
        <is>
          <t>PEMBONGKARAN KABEL UDARA FIBER OPTIK KAPASITAS 6-24 CORE</t>
        </is>
      </c>
      <c r="D674" s="35" t="inlineStr">
        <is>
          <t>meter</t>
        </is>
      </c>
      <c r="E674" s="42" t="n">
        <v>0</v>
      </c>
      <c r="F674" s="37" t="n">
        <v>720</v>
      </c>
      <c r="G674" s="68" t="n"/>
      <c r="H674" s="68">
        <f>E674*G674</f>
        <v/>
      </c>
      <c r="I674" s="68">
        <f>F674*G674</f>
        <v/>
      </c>
      <c r="J674" s="68">
        <f>SUM(H674:I674)</f>
        <v/>
      </c>
      <c r="K674" s="43" t="n"/>
    </row>
    <row r="675" hidden="1" ht="14.5" customHeight="1">
      <c r="A675" s="35" t="n">
        <v>667</v>
      </c>
      <c r="B675" s="35" t="inlineStr">
        <is>
          <t>BKR-KU-FO-48-96</t>
        </is>
      </c>
      <c r="C675" s="36" t="inlineStr">
        <is>
          <t>PEMBONGKARAN KABEL UDARA FIBER OPTIK KAPASITAS 48-96 CORE</t>
        </is>
      </c>
      <c r="D675" s="35" t="inlineStr">
        <is>
          <t>meter</t>
        </is>
      </c>
      <c r="E675" s="37" t="n">
        <v>0</v>
      </c>
      <c r="F675" s="37" t="n">
        <v>810</v>
      </c>
      <c r="G675" s="68" t="n"/>
      <c r="H675" s="68">
        <f>E675*G675</f>
        <v/>
      </c>
      <c r="I675" s="68">
        <f>F675*G675</f>
        <v/>
      </c>
      <c r="J675" s="68">
        <f>SUM(H675:I675)</f>
        <v/>
      </c>
      <c r="K675" s="43" t="n"/>
    </row>
    <row r="676" hidden="1" ht="14.5" customHeight="1">
      <c r="A676" s="35" t="n">
        <v>668</v>
      </c>
      <c r="B676" s="40" t="inlineStr">
        <is>
          <t>J-BKR-KU-FO-48-96</t>
        </is>
      </c>
      <c r="C676" s="36" t="inlineStr">
        <is>
          <t>PEMBONGKARAN KABEL UDARA FIBER OPTIK KAPASITAS 48-96 CORE</t>
        </is>
      </c>
      <c r="D676" s="35" t="inlineStr">
        <is>
          <t>meter</t>
        </is>
      </c>
      <c r="E676" s="42" t="n">
        <v>0</v>
      </c>
      <c r="F676" s="37" t="n">
        <v>810</v>
      </c>
      <c r="G676" s="68" t="n"/>
      <c r="H676" s="68">
        <f>E676*G676</f>
        <v/>
      </c>
      <c r="I676" s="68">
        <f>F676*G676</f>
        <v/>
      </c>
      <c r="J676" s="68">
        <f>SUM(H676:I676)</f>
        <v/>
      </c>
      <c r="K676" s="43" t="n"/>
    </row>
    <row r="677" hidden="1" ht="14.5" customHeight="1">
      <c r="A677" s="35" t="n">
        <v>669</v>
      </c>
      <c r="B677" s="35" t="inlineStr">
        <is>
          <t>RGL-KU-FO-6-24</t>
        </is>
      </c>
      <c r="C677" s="36" t="inlineStr">
        <is>
          <t>REGEL KABEL UDARA FIBER OPTIK KAPASITAS 6-24 CORE</t>
        </is>
      </c>
      <c r="D677" s="35" t="inlineStr">
        <is>
          <t>meter</t>
        </is>
      </c>
      <c r="E677" s="37" t="n">
        <v>0</v>
      </c>
      <c r="F677" s="37" t="n">
        <v>610</v>
      </c>
      <c r="G677" s="68" t="n"/>
      <c r="H677" s="68">
        <f>E677*G677</f>
        <v/>
      </c>
      <c r="I677" s="68">
        <f>F677*G677</f>
        <v/>
      </c>
      <c r="J677" s="68">
        <f>SUM(H677:I677)</f>
        <v/>
      </c>
      <c r="K677" s="43" t="n"/>
    </row>
    <row r="678" hidden="1" ht="14.5" customHeight="1">
      <c r="A678" s="35" t="n">
        <v>670</v>
      </c>
      <c r="B678" s="40" t="inlineStr">
        <is>
          <t>J-RGL-KU-FO-6-24</t>
        </is>
      </c>
      <c r="C678" s="36" t="inlineStr">
        <is>
          <t>REGEL KABEL UDARA FIBER OPTIK KAPASITAS 6-24 CORE</t>
        </is>
      </c>
      <c r="D678" s="35" t="inlineStr">
        <is>
          <t>meter</t>
        </is>
      </c>
      <c r="E678" s="42" t="n">
        <v>0</v>
      </c>
      <c r="F678" s="37" t="n">
        <v>610</v>
      </c>
      <c r="G678" s="68" t="n"/>
      <c r="H678" s="68">
        <f>E678*G678</f>
        <v/>
      </c>
      <c r="I678" s="68">
        <f>F678*G678</f>
        <v/>
      </c>
      <c r="J678" s="68">
        <f>SUM(H678:I678)</f>
        <v/>
      </c>
      <c r="K678" s="43" t="n"/>
    </row>
    <row r="679" hidden="1" ht="14.5" customHeight="1">
      <c r="A679" s="35" t="n">
        <v>671</v>
      </c>
      <c r="B679" s="35" t="inlineStr">
        <is>
          <t>RGL-KU-FO-48-96</t>
        </is>
      </c>
      <c r="C679" s="36" t="inlineStr">
        <is>
          <t>REGEL KABEL UDARA FIBER OPTIK KAPASITAS 48-96 CORE</t>
        </is>
      </c>
      <c r="D679" s="35" t="inlineStr">
        <is>
          <t>meter</t>
        </is>
      </c>
      <c r="E679" s="37" t="n">
        <v>0</v>
      </c>
      <c r="F679" s="37" t="n">
        <v>610</v>
      </c>
      <c r="G679" s="68" t="n"/>
      <c r="H679" s="68">
        <f>E679*G679</f>
        <v/>
      </c>
      <c r="I679" s="68">
        <f>F679*G679</f>
        <v/>
      </c>
      <c r="J679" s="68">
        <f>SUM(H679:I679)</f>
        <v/>
      </c>
      <c r="K679" s="43" t="n"/>
    </row>
    <row r="680" hidden="1" ht="14.5" customHeight="1">
      <c r="A680" s="35" t="n">
        <v>672</v>
      </c>
      <c r="B680" s="40" t="inlineStr">
        <is>
          <t>J-RGL-KU-FO-48-96</t>
        </is>
      </c>
      <c r="C680" s="36" t="inlineStr">
        <is>
          <t>REGEL KABEL UDARA FIBER OPTIK KAPASITAS 48-96 CORE</t>
        </is>
      </c>
      <c r="D680" s="35" t="inlineStr">
        <is>
          <t>meter</t>
        </is>
      </c>
      <c r="E680" s="42" t="n">
        <v>0</v>
      </c>
      <c r="F680" s="37" t="n">
        <v>610</v>
      </c>
      <c r="G680" s="68" t="n"/>
      <c r="H680" s="68">
        <f>E680*G680</f>
        <v/>
      </c>
      <c r="I680" s="68">
        <f>F680*G680</f>
        <v/>
      </c>
      <c r="J680" s="68">
        <f>SUM(H680:I680)</f>
        <v/>
      </c>
      <c r="K680" s="43" t="n"/>
    </row>
    <row r="681" hidden="1" ht="29" customHeight="1">
      <c r="A681" s="35" t="n">
        <v>673</v>
      </c>
      <c r="B681" s="35" t="inlineStr">
        <is>
          <t>PROT-SLV</t>
        </is>
      </c>
      <c r="C681" s="36" t="inlineStr">
        <is>
          <t>PENGADAAN DAN PEMASANGAN PROTECTION SLEEVE 6MM, PANJANG 6CM</t>
        </is>
      </c>
      <c r="D681" s="35" t="inlineStr">
        <is>
          <t>Pcs</t>
        </is>
      </c>
      <c r="E681" s="37" t="n">
        <v>830</v>
      </c>
      <c r="F681" s="37" t="n">
        <v>540</v>
      </c>
      <c r="G681" s="68" t="n"/>
      <c r="H681" s="68">
        <f>E681*G681</f>
        <v/>
      </c>
      <c r="I681" s="68">
        <f>F681*G681</f>
        <v/>
      </c>
      <c r="J681" s="68">
        <f>SUM(H681:I681)</f>
        <v/>
      </c>
      <c r="K681" s="43" t="n"/>
    </row>
    <row r="682" hidden="1" ht="29" customHeight="1">
      <c r="A682" s="35" t="n">
        <v>674</v>
      </c>
      <c r="B682" s="40" t="inlineStr">
        <is>
          <t>M-PROT-SLV</t>
        </is>
      </c>
      <c r="C682" s="36" t="inlineStr">
        <is>
          <t>PENGADAAN DAN PEMASANGAN PROTECTION SLEEVE 6MM, PANJANG 6CM</t>
        </is>
      </c>
      <c r="D682" s="35" t="inlineStr">
        <is>
          <t>Pcs</t>
        </is>
      </c>
      <c r="E682" s="37" t="n">
        <v>830</v>
      </c>
      <c r="F682" s="42" t="n">
        <v>0</v>
      </c>
      <c r="G682" s="68" t="n"/>
      <c r="H682" s="68">
        <f>E682*G682</f>
        <v/>
      </c>
      <c r="I682" s="68">
        <f>F682*G682</f>
        <v/>
      </c>
      <c r="J682" s="68">
        <f>SUM(H682:I682)</f>
        <v/>
      </c>
      <c r="K682" s="43" t="n"/>
    </row>
    <row r="683" hidden="1" ht="29" customHeight="1">
      <c r="A683" s="35" t="n">
        <v>675</v>
      </c>
      <c r="B683" s="40" t="inlineStr">
        <is>
          <t>J-PROT-SLV</t>
        </is>
      </c>
      <c r="C683" s="36" t="inlineStr">
        <is>
          <t>PENGADAAN DAN PEMASANGAN PROTECTION SLEEVE 6MM, PANJANG 6CM</t>
        </is>
      </c>
      <c r="D683" s="35" t="inlineStr">
        <is>
          <t>Pcs</t>
        </is>
      </c>
      <c r="E683" s="42" t="n">
        <v>0</v>
      </c>
      <c r="F683" s="37" t="n">
        <v>540</v>
      </c>
      <c r="G683" s="68" t="n"/>
      <c r="H683" s="68">
        <f>E683*G683</f>
        <v/>
      </c>
      <c r="I683" s="68">
        <f>F683*G683</f>
        <v/>
      </c>
      <c r="J683" s="68">
        <f>SUM(H683:I683)</f>
        <v/>
      </c>
      <c r="K683" s="43" t="n"/>
    </row>
    <row r="684" hidden="1" ht="14.5" customHeight="1">
      <c r="A684" s="35" t="n">
        <v>676</v>
      </c>
      <c r="B684" s="35" t="inlineStr">
        <is>
          <t>T-ROUTE-KABEL</t>
        </is>
      </c>
      <c r="C684" s="36" t="inlineStr">
        <is>
          <t>PEMBUATAN / PEMASANGAN TANDA ROUTE KABEL</t>
        </is>
      </c>
      <c r="D684" s="35" t="inlineStr">
        <is>
          <t>Unit</t>
        </is>
      </c>
      <c r="E684" s="37" t="n">
        <v>50120</v>
      </c>
      <c r="F684" s="37" t="n">
        <v>13680</v>
      </c>
      <c r="G684" s="68" t="n"/>
      <c r="H684" s="68">
        <f>E684*G684</f>
        <v/>
      </c>
      <c r="I684" s="68">
        <f>F684*G684</f>
        <v/>
      </c>
      <c r="J684" s="68">
        <f>SUM(H684:I684)</f>
        <v/>
      </c>
      <c r="K684" s="43" t="n"/>
    </row>
    <row r="685" hidden="1" ht="14.5" customHeight="1">
      <c r="A685" s="35" t="n">
        <v>677</v>
      </c>
      <c r="B685" s="40" t="inlineStr">
        <is>
          <t>M-T-ROUTE-KABEL</t>
        </is>
      </c>
      <c r="C685" s="36" t="inlineStr">
        <is>
          <t>PEMBUATAN / PEMASANGAN TANDA ROUTE KABEL</t>
        </is>
      </c>
      <c r="D685" s="35" t="inlineStr">
        <is>
          <t>Unit</t>
        </is>
      </c>
      <c r="E685" s="37" t="n">
        <v>50120</v>
      </c>
      <c r="F685" s="42" t="n">
        <v>0</v>
      </c>
      <c r="G685" s="68" t="n"/>
      <c r="H685" s="68">
        <f>E685*G685</f>
        <v/>
      </c>
      <c r="I685" s="68">
        <f>F685*G685</f>
        <v/>
      </c>
      <c r="J685" s="68">
        <f>SUM(H685:I685)</f>
        <v/>
      </c>
      <c r="K685" s="43" t="n"/>
    </row>
    <row r="686" hidden="1" ht="14.5" customHeight="1">
      <c r="A686" s="35" t="n">
        <v>678</v>
      </c>
      <c r="B686" s="40" t="inlineStr">
        <is>
          <t>J-T-ROUTE-KABEL</t>
        </is>
      </c>
      <c r="C686" s="36" t="inlineStr">
        <is>
          <t>PEMBUATAN / PEMASANGAN TANDA ROUTE KABEL</t>
        </is>
      </c>
      <c r="D686" s="35" t="inlineStr">
        <is>
          <t>Unit</t>
        </is>
      </c>
      <c r="E686" s="42" t="n">
        <v>0</v>
      </c>
      <c r="F686" s="37" t="n">
        <v>13680</v>
      </c>
      <c r="G686" s="68" t="n"/>
      <c r="H686" s="68">
        <f>E686*G686</f>
        <v/>
      </c>
      <c r="I686" s="68">
        <f>F686*G686</f>
        <v/>
      </c>
      <c r="J686" s="68">
        <f>SUM(H686:I686)</f>
        <v/>
      </c>
      <c r="K686" s="43" t="n"/>
    </row>
    <row r="687" hidden="1" ht="58" customHeight="1">
      <c r="A687" s="35" t="n">
        <v>679</v>
      </c>
      <c r="B687" s="35" t="inlineStr">
        <is>
          <t>BC-MTR-GALV.2-3.6</t>
        </is>
      </c>
      <c r="C687" s="36" t="inlineStr">
        <is>
          <t>PENGADAAN ALUR KABEL MENGGUNAKAN PIPA GALVANIS DIAMETER 2 INCHI, DI DALAM GALIAN BETON / KERAMIK DENGAN KEDALAMAN 10CM, LEBAR 5CM DARI AREA DISPENSER MENUJU OFFICE TERMASUK PERBAIKAN KEMBALI JALUR GALIAN</t>
        </is>
      </c>
      <c r="D687" s="35" t="inlineStr">
        <is>
          <t>Mtr</t>
        </is>
      </c>
      <c r="E687" s="37" t="n">
        <v>126310</v>
      </c>
      <c r="F687" s="37" t="n">
        <v>112370</v>
      </c>
      <c r="G687" s="68" t="n"/>
      <c r="H687" s="68">
        <f>E687*G687</f>
        <v/>
      </c>
      <c r="I687" s="68">
        <f>F687*G687</f>
        <v/>
      </c>
      <c r="J687" s="68">
        <f>SUM(H687:I687)</f>
        <v/>
      </c>
      <c r="K687" s="43" t="n"/>
    </row>
    <row r="688" hidden="1" ht="58" customHeight="1">
      <c r="A688" s="35" t="n">
        <v>680</v>
      </c>
      <c r="B688" s="40" t="inlineStr">
        <is>
          <t>M-BC-MTR-GALV.2-3.6</t>
        </is>
      </c>
      <c r="C688" s="36" t="inlineStr">
        <is>
          <t>PENGADAAN ALUR KABEL MENGGUNAKAN PIPA GALVANIS DIAMETER 2 INCHI, DI DALAM GALIAN BETON / KERAMIK DENGAN KEDALAMAN 10CM, LEBAR 5CM DARI AREA DISPENSER MENUJU OFFICE TERMASUK PERBAIKAN KEMBALI JALUR GALIAN</t>
        </is>
      </c>
      <c r="D688" s="35" t="inlineStr">
        <is>
          <t>Mtr</t>
        </is>
      </c>
      <c r="E688" s="37" t="n">
        <v>126310</v>
      </c>
      <c r="F688" s="42" t="n">
        <v>0</v>
      </c>
      <c r="G688" s="68" t="n"/>
      <c r="H688" s="68">
        <f>E688*G688</f>
        <v/>
      </c>
      <c r="I688" s="68">
        <f>F688*G688</f>
        <v/>
      </c>
      <c r="J688" s="68">
        <f>SUM(H688:I688)</f>
        <v/>
      </c>
      <c r="K688" s="43" t="n"/>
    </row>
    <row r="689" hidden="1" ht="58" customHeight="1">
      <c r="A689" s="35" t="n">
        <v>681</v>
      </c>
      <c r="B689" s="40" t="inlineStr">
        <is>
          <t>J-BC-MTR-GALV.2-3.6</t>
        </is>
      </c>
      <c r="C689" s="36" t="inlineStr">
        <is>
          <t>PENGADAAN ALUR KABEL MENGGUNAKAN PIPA GALVANIS DIAMETER 2 INCHI, DI DALAM GALIAN BETON / KERAMIK DENGAN KEDALAMAN 10CM, LEBAR 5CM DARI AREA DISPENSER MENUJU OFFICE TERMASUK PERBAIKAN KEMBALI JALUR GALIAN</t>
        </is>
      </c>
      <c r="D689" s="35" t="inlineStr">
        <is>
          <t>Mtr</t>
        </is>
      </c>
      <c r="E689" s="42" t="n">
        <v>0</v>
      </c>
      <c r="F689" s="37" t="n">
        <v>112370</v>
      </c>
      <c r="G689" s="68" t="n"/>
      <c r="H689" s="68">
        <f>E689*G689</f>
        <v/>
      </c>
      <c r="I689" s="68">
        <f>F689*G689</f>
        <v/>
      </c>
      <c r="J689" s="68">
        <f>SUM(H689:I689)</f>
        <v/>
      </c>
      <c r="K689" s="43" t="n"/>
    </row>
    <row r="690" hidden="1" ht="29" customHeight="1">
      <c r="A690" s="35" t="n">
        <v>682</v>
      </c>
      <c r="B690" s="35" t="inlineStr">
        <is>
          <t>HB-PC-2</t>
        </is>
      </c>
      <c r="C690" s="36" t="inlineStr">
        <is>
          <t>PENGADAAN DAN PEMASANGAN PIPA DUCT DENGAN SYSTEM GANTUNG 2 TIANG BETON, BENTANG S/D 100 METER</t>
        </is>
      </c>
      <c r="D690" s="35" t="inlineStr">
        <is>
          <t>Mtr</t>
        </is>
      </c>
      <c r="E690" s="37" t="n">
        <v>501600</v>
      </c>
      <c r="F690" s="37" t="n">
        <v>48530</v>
      </c>
      <c r="G690" s="68" t="n"/>
      <c r="H690" s="68">
        <f>E690*G690</f>
        <v/>
      </c>
      <c r="I690" s="68">
        <f>F690*G690</f>
        <v/>
      </c>
      <c r="J690" s="68">
        <f>SUM(H690:I690)</f>
        <v/>
      </c>
      <c r="K690" s="43" t="n"/>
    </row>
    <row r="691" hidden="1" ht="29" customHeight="1">
      <c r="A691" s="35" t="n">
        <v>683</v>
      </c>
      <c r="B691" s="40" t="inlineStr">
        <is>
          <t>M-HB-PC-2</t>
        </is>
      </c>
      <c r="C691" s="36" t="inlineStr">
        <is>
          <t>PENGADAAN DAN PEMASANGAN PIPA DUCT DENGAN SYSTEM GANTUNG 2 TIANG BETON, BENTANG S/D 100 METER</t>
        </is>
      </c>
      <c r="D691" s="35" t="inlineStr">
        <is>
          <t>Mtr</t>
        </is>
      </c>
      <c r="E691" s="37" t="n">
        <v>501600</v>
      </c>
      <c r="F691" s="42" t="n">
        <v>0</v>
      </c>
      <c r="G691" s="68" t="n"/>
      <c r="H691" s="68">
        <f>E691*G691</f>
        <v/>
      </c>
      <c r="I691" s="68">
        <f>F691*G691</f>
        <v/>
      </c>
      <c r="J691" s="68">
        <f>SUM(H691:I691)</f>
        <v/>
      </c>
      <c r="K691" s="43" t="n"/>
    </row>
    <row r="692" hidden="1" ht="29" customHeight="1">
      <c r="A692" s="35" t="n">
        <v>684</v>
      </c>
      <c r="B692" s="40" t="inlineStr">
        <is>
          <t>J-HB-PC-2</t>
        </is>
      </c>
      <c r="C692" s="36" t="inlineStr">
        <is>
          <t>PENGADAAN DAN PEMASANGAN PIPA DUCT DENGAN SYSTEM GANTUNG 2 TIANG BETON, BENTANG S/D 100 METER</t>
        </is>
      </c>
      <c r="D692" s="35" t="inlineStr">
        <is>
          <t>Mtr</t>
        </is>
      </c>
      <c r="E692" s="42" t="n">
        <v>0</v>
      </c>
      <c r="F692" s="37" t="n">
        <v>48530</v>
      </c>
      <c r="G692" s="68" t="n"/>
      <c r="H692" s="68">
        <f>E692*G692</f>
        <v/>
      </c>
      <c r="I692" s="68">
        <f>F692*G692</f>
        <v/>
      </c>
      <c r="J692" s="68">
        <f>SUM(H692:I692)</f>
        <v/>
      </c>
      <c r="K692" s="43" t="n"/>
    </row>
    <row r="693" hidden="1" ht="14.5" customHeight="1">
      <c r="A693" s="35" t="n">
        <v>685</v>
      </c>
      <c r="B693" s="35" t="inlineStr">
        <is>
          <t>PT-TT-7</t>
        </is>
      </c>
      <c r="C693" s="36" t="inlineStr">
        <is>
          <t>PENGECATAN TIANG TELEPON TUNGGAL 7 M DAN 9 M</t>
        </is>
      </c>
      <c r="D693" s="35" t="inlineStr">
        <is>
          <t>Btg</t>
        </is>
      </c>
      <c r="E693" s="37" t="n">
        <v>31340</v>
      </c>
      <c r="F693" s="37" t="n">
        <v>12360</v>
      </c>
      <c r="G693" s="68" t="n"/>
      <c r="H693" s="68">
        <f>E693*G693</f>
        <v/>
      </c>
      <c r="I693" s="68">
        <f>F693*G693</f>
        <v/>
      </c>
      <c r="J693" s="68">
        <f>SUM(H693:I693)</f>
        <v/>
      </c>
      <c r="K693" s="43" t="n"/>
    </row>
    <row r="694" hidden="1" ht="14.5" customHeight="1">
      <c r="A694" s="35" t="n">
        <v>686</v>
      </c>
      <c r="B694" s="40" t="inlineStr">
        <is>
          <t>M-PT-TT-7</t>
        </is>
      </c>
      <c r="C694" s="36" t="inlineStr">
        <is>
          <t>PENGECATAN TIANG TELEPON TUNGGAL 7 M DAN 9 M</t>
        </is>
      </c>
      <c r="D694" s="35" t="inlineStr">
        <is>
          <t>Btg</t>
        </is>
      </c>
      <c r="E694" s="37" t="n">
        <v>31340</v>
      </c>
      <c r="F694" s="42" t="n">
        <v>0</v>
      </c>
      <c r="G694" s="68" t="n"/>
      <c r="H694" s="68">
        <f>E694*G694</f>
        <v/>
      </c>
      <c r="I694" s="68">
        <f>F694*G694</f>
        <v/>
      </c>
      <c r="J694" s="68">
        <f>SUM(H694:I694)</f>
        <v/>
      </c>
      <c r="K694" s="43" t="n"/>
    </row>
    <row r="695" hidden="1" ht="14.5" customHeight="1">
      <c r="A695" s="35" t="n">
        <v>687</v>
      </c>
      <c r="B695" s="40" t="inlineStr">
        <is>
          <t>J-PT-TT-7</t>
        </is>
      </c>
      <c r="C695" s="36" t="inlineStr">
        <is>
          <t>PENGECATAN TIANG TELEPON TUNGGAL 7 M DAN 9 M</t>
        </is>
      </c>
      <c r="D695" s="35" t="inlineStr">
        <is>
          <t>Btg</t>
        </is>
      </c>
      <c r="E695" s="42" t="n">
        <v>0</v>
      </c>
      <c r="F695" s="37" t="n">
        <v>12360</v>
      </c>
      <c r="G695" s="68" t="n"/>
      <c r="H695" s="68">
        <f>E695*G695</f>
        <v/>
      </c>
      <c r="I695" s="68">
        <f>F695*G695</f>
        <v/>
      </c>
      <c r="J695" s="68">
        <f>SUM(H695:I695)</f>
        <v/>
      </c>
      <c r="K695" s="43" t="n"/>
    </row>
    <row r="696" hidden="1" ht="14.5" customHeight="1">
      <c r="A696" s="35" t="n">
        <v>688</v>
      </c>
      <c r="B696" s="35" t="inlineStr">
        <is>
          <t>PC-TT-7/9</t>
        </is>
      </c>
      <c r="C696" s="36" t="inlineStr">
        <is>
          <t>PENGECORAN TIANG TELEPON TUNGGAL 7 M DAN 9M</t>
        </is>
      </c>
      <c r="D696" s="35" t="inlineStr">
        <is>
          <t>Btg</t>
        </is>
      </c>
      <c r="E696" s="37" t="n">
        <v>143430</v>
      </c>
      <c r="F696" s="37" t="n">
        <v>57280</v>
      </c>
      <c r="G696" s="68" t="n"/>
      <c r="H696" s="68">
        <f>E696*G696</f>
        <v/>
      </c>
      <c r="I696" s="68">
        <f>F696*G696</f>
        <v/>
      </c>
      <c r="J696" s="68">
        <f>SUM(H696:I696)</f>
        <v/>
      </c>
      <c r="K696" s="43" t="n"/>
    </row>
    <row r="697" hidden="1" ht="14.5" customHeight="1">
      <c r="A697" s="35" t="n">
        <v>689</v>
      </c>
      <c r="B697" s="40" t="inlineStr">
        <is>
          <t>M-PC-TT-7/9</t>
        </is>
      </c>
      <c r="C697" s="36" t="inlineStr">
        <is>
          <t>PENGECORAN TIANG TELEPON TUNGGAL 7 M DAN 9M</t>
        </is>
      </c>
      <c r="D697" s="35" t="inlineStr">
        <is>
          <t>Btg</t>
        </is>
      </c>
      <c r="E697" s="37" t="n">
        <v>143430</v>
      </c>
      <c r="F697" s="42" t="n">
        <v>0</v>
      </c>
      <c r="G697" s="68" t="n"/>
      <c r="H697" s="68">
        <f>E697*G697</f>
        <v/>
      </c>
      <c r="I697" s="68">
        <f>F697*G697</f>
        <v/>
      </c>
      <c r="J697" s="68">
        <f>SUM(H697:I697)</f>
        <v/>
      </c>
      <c r="K697" s="43" t="n"/>
    </row>
    <row r="698" hidden="1" ht="14.5" customHeight="1">
      <c r="A698" s="35" t="n">
        <v>690</v>
      </c>
      <c r="B698" s="40" t="inlineStr">
        <is>
          <t>J-PC-TT-7/9</t>
        </is>
      </c>
      <c r="C698" s="36" t="inlineStr">
        <is>
          <t>PENGECORAN TIANG TELEPON TUNGGAL 7 M DAN 9M</t>
        </is>
      </c>
      <c r="D698" s="35" t="inlineStr">
        <is>
          <t>Btg</t>
        </is>
      </c>
      <c r="E698" s="42" t="n">
        <v>0</v>
      </c>
      <c r="F698" s="37" t="n">
        <v>57280</v>
      </c>
      <c r="G698" s="68" t="n"/>
      <c r="H698" s="68">
        <f>E698*G698</f>
        <v/>
      </c>
      <c r="I698" s="68">
        <f>F698*G698</f>
        <v/>
      </c>
      <c r="J698" s="68">
        <f>SUM(H698:I698)</f>
        <v/>
      </c>
      <c r="K698" s="43" t="n"/>
    </row>
    <row r="699" hidden="1" ht="58" customHeight="1">
      <c r="A699" s="35" t="n">
        <v>691</v>
      </c>
      <c r="B699" s="35" t="inlineStr">
        <is>
          <t>PU-G6-2,5</t>
        </is>
      </c>
      <c r="C699" s="36" t="inlineStr">
        <is>
          <t>PENGADAAN DAN PEMASANGAN TIANG BESI GALVANIZED MEDIUM DIAMETER 2,5 INCH PANJANG 6 METER, BERIKUT CAT, COR PONDASI ATAU KLEM TUMPUAN KE DINDING TAMBATAN BESERTA MUR MAUT YANG SESUAI LENGKAP</t>
        </is>
      </c>
      <c r="D699" s="35" t="inlineStr">
        <is>
          <t>Btg</t>
        </is>
      </c>
      <c r="E699" s="37" t="n">
        <v>1342000</v>
      </c>
      <c r="F699" s="37" t="n">
        <v>254850</v>
      </c>
      <c r="G699" s="68" t="n"/>
      <c r="H699" s="68">
        <f>E699*G699</f>
        <v/>
      </c>
      <c r="I699" s="68">
        <f>F699*G699</f>
        <v/>
      </c>
      <c r="J699" s="68">
        <f>SUM(H699:I699)</f>
        <v/>
      </c>
      <c r="K699" s="43" t="n"/>
    </row>
    <row r="700" hidden="1" ht="58" customHeight="1">
      <c r="A700" s="35" t="n">
        <v>692</v>
      </c>
      <c r="B700" s="40" t="inlineStr">
        <is>
          <t>M-PU-G6-2,5</t>
        </is>
      </c>
      <c r="C700" s="36" t="inlineStr">
        <is>
          <t>PENGADAAN DAN PEMASANGAN TIANG BESI GALVANIZED MEDIUM DIAMETER 2,5 INCH PANJANG 6 METER, BERIKUT CAT, COR PONDASI ATAU KLEM TUMPUAN KE DINDING TAMBATAN BESERTA MUR MAUT YANG SESUAI LENGKAP</t>
        </is>
      </c>
      <c r="D700" s="35" t="inlineStr">
        <is>
          <t>Btg</t>
        </is>
      </c>
      <c r="E700" s="37" t="n">
        <v>1342000</v>
      </c>
      <c r="F700" s="42" t="n">
        <v>0</v>
      </c>
      <c r="G700" s="68" t="n"/>
      <c r="H700" s="68">
        <f>E700*G700</f>
        <v/>
      </c>
      <c r="I700" s="68">
        <f>F700*G700</f>
        <v/>
      </c>
      <c r="J700" s="68">
        <f>SUM(H700:I700)</f>
        <v/>
      </c>
      <c r="K700" s="43" t="n"/>
    </row>
    <row r="701" hidden="1" ht="58" customHeight="1">
      <c r="A701" s="35" t="n">
        <v>693</v>
      </c>
      <c r="B701" s="40" t="inlineStr">
        <is>
          <t>J-PU-G6-2,5</t>
        </is>
      </c>
      <c r="C701" s="36" t="inlineStr">
        <is>
          <t>PENGADAAN DAN PEMASANGAN TIANG BESI GALVANIZED MEDIUM DIAMETER 2,5 INCH PANJANG 6 METER, BERIKUT CAT, COR PONDASI ATAU KLEM TUMPUAN KE DINDING TAMBATAN BESERTA MUR MAUT YANG SESUAI LENGKAP</t>
        </is>
      </c>
      <c r="D701" s="35" t="inlineStr">
        <is>
          <t>Btg</t>
        </is>
      </c>
      <c r="E701" s="42" t="n">
        <v>0</v>
      </c>
      <c r="F701" s="37" t="n">
        <v>254850</v>
      </c>
      <c r="G701" s="68" t="n"/>
      <c r="H701" s="68">
        <f>E701*G701</f>
        <v/>
      </c>
      <c r="I701" s="68">
        <f>F701*G701</f>
        <v/>
      </c>
      <c r="J701" s="68">
        <f>SUM(H701:I701)</f>
        <v/>
      </c>
      <c r="K701" s="43" t="n"/>
    </row>
    <row r="702" hidden="1" ht="58" customHeight="1">
      <c r="A702" s="35" t="n">
        <v>694</v>
      </c>
      <c r="B702" s="35" t="inlineStr">
        <is>
          <t>PU-G6-3</t>
        </is>
      </c>
      <c r="C702" s="36" t="inlineStr">
        <is>
          <t>PENGADAAN DAN PEMASANGAN TIANG BESI GALVANIZED MEDIUM DIAMETER 3 INCH PANJANG 6 METER, BERIKUT CAT, COR PONDASI ATAU KLEM TUMPUAN KE DINDING TAMBATAN BESERTA MUR MAUT YANG SESUAI LENGKAP</t>
        </is>
      </c>
      <c r="D702" s="35" t="inlineStr">
        <is>
          <t>Btg</t>
        </is>
      </c>
      <c r="E702" s="37" t="n">
        <v>1496000</v>
      </c>
      <c r="F702" s="37" t="n">
        <v>254850</v>
      </c>
      <c r="G702" s="68" t="n"/>
      <c r="H702" s="68">
        <f>E702*G702</f>
        <v/>
      </c>
      <c r="I702" s="68">
        <f>F702*G702</f>
        <v/>
      </c>
      <c r="J702" s="68">
        <f>SUM(H702:I702)</f>
        <v/>
      </c>
      <c r="K702" s="43" t="n"/>
    </row>
    <row r="703" hidden="1" ht="58" customHeight="1">
      <c r="A703" s="35" t="n">
        <v>695</v>
      </c>
      <c r="B703" s="40" t="inlineStr">
        <is>
          <t>M-PU-G6-3</t>
        </is>
      </c>
      <c r="C703" s="36" t="inlineStr">
        <is>
          <t>PENGADAAN DAN PEMASANGAN TIANG BESI GALVANIZED MEDIUM DIAMETER 3 INCH PANJANG 6 METER, BERIKUT CAT, COR PONDASI ATAU KLEM TUMPUAN KE DINDING TAMBATAN BESERTA MUR MAUT YANG SESUAI LENGKAP</t>
        </is>
      </c>
      <c r="D703" s="35" t="inlineStr">
        <is>
          <t>Btg</t>
        </is>
      </c>
      <c r="E703" s="37" t="n">
        <v>1496000</v>
      </c>
      <c r="F703" s="42" t="n">
        <v>0</v>
      </c>
      <c r="G703" s="68" t="n"/>
      <c r="H703" s="68">
        <f>E703*G703</f>
        <v/>
      </c>
      <c r="I703" s="68">
        <f>F703*G703</f>
        <v/>
      </c>
      <c r="J703" s="68">
        <f>SUM(H703:I703)</f>
        <v/>
      </c>
      <c r="K703" s="43" t="n"/>
    </row>
    <row r="704" hidden="1" ht="58" customHeight="1">
      <c r="A704" s="35" t="n">
        <v>696</v>
      </c>
      <c r="B704" s="40" t="inlineStr">
        <is>
          <t>J-PU-G6-3</t>
        </is>
      </c>
      <c r="C704" s="36" t="inlineStr">
        <is>
          <t>PENGADAAN DAN PEMASANGAN TIANG BESI GALVANIZED MEDIUM DIAMETER 3 INCH PANJANG 6 METER, BERIKUT CAT, COR PONDASI ATAU KLEM TUMPUAN KE DINDING TAMBATAN BESERTA MUR MAUT YANG SESUAI LENGKAP</t>
        </is>
      </c>
      <c r="D704" s="35" t="inlineStr">
        <is>
          <t>Btg</t>
        </is>
      </c>
      <c r="E704" s="42" t="n">
        <v>0</v>
      </c>
      <c r="F704" s="37" t="n">
        <v>254850</v>
      </c>
      <c r="G704" s="68" t="n"/>
      <c r="H704" s="68">
        <f>E704*G704</f>
        <v/>
      </c>
      <c r="I704" s="68">
        <f>F704*G704</f>
        <v/>
      </c>
      <c r="J704" s="68">
        <f>SUM(H704:I704)</f>
        <v/>
      </c>
      <c r="K704" s="43" t="n"/>
    </row>
    <row r="705" hidden="1" ht="29" customHeight="1">
      <c r="A705" s="35" t="n">
        <v>697</v>
      </c>
      <c r="B705" s="35" t="inlineStr">
        <is>
          <t>RP-GJ-1,25</t>
        </is>
      </c>
      <c r="C705" s="36" t="inlineStr">
        <is>
          <t>RISER PIPA 1,25" GALVANIS MEDIUM UTK KABEL TURUN/NAIK CATUAN KT/KU PADA TIANG/DINDING</t>
        </is>
      </c>
      <c r="D705" s="35" t="inlineStr">
        <is>
          <t>Unit</t>
        </is>
      </c>
      <c r="E705" s="37" t="n">
        <v>250130</v>
      </c>
      <c r="F705" s="37" t="n">
        <v>37100</v>
      </c>
      <c r="G705" s="68" t="n"/>
      <c r="H705" s="68">
        <f>E705*G705</f>
        <v/>
      </c>
      <c r="I705" s="68">
        <f>F705*G705</f>
        <v/>
      </c>
      <c r="J705" s="68">
        <f>SUM(H705:I705)</f>
        <v/>
      </c>
      <c r="K705" s="43" t="n"/>
    </row>
    <row r="706" hidden="1" ht="29" customHeight="1">
      <c r="A706" s="35" t="n">
        <v>698</v>
      </c>
      <c r="B706" s="40" t="inlineStr">
        <is>
          <t>M-RP-GJ-1,25</t>
        </is>
      </c>
      <c r="C706" s="36" t="inlineStr">
        <is>
          <t>RISER PIPA 1,25" GALVANIS MEDIUM UTK KABEL TURUN/NAIK CATUAN KT/KU PADA TIANG/DINDING</t>
        </is>
      </c>
      <c r="D706" s="35" t="inlineStr">
        <is>
          <t>Unit</t>
        </is>
      </c>
      <c r="E706" s="37" t="n">
        <v>250130</v>
      </c>
      <c r="F706" s="42" t="n">
        <v>0</v>
      </c>
      <c r="G706" s="68" t="n"/>
      <c r="H706" s="68">
        <f>E706*G706</f>
        <v/>
      </c>
      <c r="I706" s="68">
        <f>F706*G706</f>
        <v/>
      </c>
      <c r="J706" s="68">
        <f>SUM(H706:I706)</f>
        <v/>
      </c>
      <c r="K706" s="43" t="n"/>
    </row>
    <row r="707" hidden="1" ht="29" customHeight="1">
      <c r="A707" s="35" t="n">
        <v>699</v>
      </c>
      <c r="B707" s="40" t="inlineStr">
        <is>
          <t>J-RP-GJ-1,25</t>
        </is>
      </c>
      <c r="C707" s="36" t="inlineStr">
        <is>
          <t>RISER PIPA 1,25" GALVANIS MEDIUM UTK KABEL TURUN/NAIK CATUAN KT/KU PADA TIANG/DINDING</t>
        </is>
      </c>
      <c r="D707" s="35" t="inlineStr">
        <is>
          <t>Unit</t>
        </is>
      </c>
      <c r="E707" s="42" t="n">
        <v>0</v>
      </c>
      <c r="F707" s="37" t="n">
        <v>37100</v>
      </c>
      <c r="G707" s="68" t="n"/>
      <c r="H707" s="68">
        <f>E707*G707</f>
        <v/>
      </c>
      <c r="I707" s="68">
        <f>F707*G707</f>
        <v/>
      </c>
      <c r="J707" s="68">
        <f>SUM(H707:I707)</f>
        <v/>
      </c>
      <c r="K707" s="43" t="n"/>
    </row>
    <row r="708" hidden="1" ht="29" customHeight="1">
      <c r="A708" s="35" t="n">
        <v>700</v>
      </c>
      <c r="B708" s="35" t="inlineStr">
        <is>
          <t>RP-GJ-1,50</t>
        </is>
      </c>
      <c r="C708" s="36" t="inlineStr">
        <is>
          <t>RISER PIPA 1,50" GALVANIS MEDIUM UTK KABEL TURUN/NAIK CATUAN KT/KU PADA TIANG/DINDING</t>
        </is>
      </c>
      <c r="D708" s="35" t="inlineStr">
        <is>
          <t>Unit</t>
        </is>
      </c>
      <c r="E708" s="37" t="n">
        <v>256340</v>
      </c>
      <c r="F708" s="37" t="n">
        <v>43290</v>
      </c>
      <c r="G708" s="68" t="n"/>
      <c r="H708" s="68">
        <f>E708*G708</f>
        <v/>
      </c>
      <c r="I708" s="68">
        <f>F708*G708</f>
        <v/>
      </c>
      <c r="J708" s="68">
        <f>SUM(H708:I708)</f>
        <v/>
      </c>
      <c r="K708" s="43" t="n"/>
    </row>
    <row r="709" hidden="1" ht="29" customHeight="1">
      <c r="A709" s="35" t="n">
        <v>701</v>
      </c>
      <c r="B709" s="40" t="inlineStr">
        <is>
          <t>M-RP-GJ-1,50</t>
        </is>
      </c>
      <c r="C709" s="36" t="inlineStr">
        <is>
          <t>RISER PIPA 1,50" GALVANIS MEDIUM UTK KABEL TURUN/NAIK CATUAN KT/KU PADA TIANG/DINDING</t>
        </is>
      </c>
      <c r="D709" s="35" t="inlineStr">
        <is>
          <t>Unit</t>
        </is>
      </c>
      <c r="E709" s="37" t="n">
        <v>256340</v>
      </c>
      <c r="F709" s="42" t="n">
        <v>0</v>
      </c>
      <c r="G709" s="68" t="n"/>
      <c r="H709" s="68">
        <f>E709*G709</f>
        <v/>
      </c>
      <c r="I709" s="68">
        <f>F709*G709</f>
        <v/>
      </c>
      <c r="J709" s="68">
        <f>SUM(H709:I709)</f>
        <v/>
      </c>
      <c r="K709" s="43" t="n"/>
    </row>
    <row r="710" hidden="1" ht="29" customHeight="1">
      <c r="A710" s="35" t="n">
        <v>702</v>
      </c>
      <c r="B710" s="40" t="inlineStr">
        <is>
          <t>J-RP-GJ-1,50</t>
        </is>
      </c>
      <c r="C710" s="36" t="inlineStr">
        <is>
          <t>RISER PIPA 1,50" GALVANIS MEDIUM UTK KABEL TURUN/NAIK CATUAN KT/KU PADA TIANG/DINDING</t>
        </is>
      </c>
      <c r="D710" s="35" t="inlineStr">
        <is>
          <t>Unit</t>
        </is>
      </c>
      <c r="E710" s="42" t="n">
        <v>0</v>
      </c>
      <c r="F710" s="37" t="n">
        <v>43290</v>
      </c>
      <c r="G710" s="68" t="n"/>
      <c r="H710" s="68">
        <f>E710*G710</f>
        <v/>
      </c>
      <c r="I710" s="68">
        <f>F710*G710</f>
        <v/>
      </c>
      <c r="J710" s="68">
        <f>SUM(H710:I710)</f>
        <v/>
      </c>
      <c r="K710" s="43" t="n"/>
    </row>
    <row r="711" hidden="1" ht="29" customHeight="1">
      <c r="A711" s="35" t="n">
        <v>703</v>
      </c>
      <c r="B711" s="35" t="inlineStr">
        <is>
          <t>RP-GJ-2</t>
        </is>
      </c>
      <c r="C711" s="36" t="inlineStr">
        <is>
          <t>RISER PIPA 2,00" GALVANIS MEDIUM UTK KABEL TURUN/NAIK CATUAN KT/KU PADA TIANG/DINDING</t>
        </is>
      </c>
      <c r="D711" s="35" t="inlineStr">
        <is>
          <t>Unit</t>
        </is>
      </c>
      <c r="E711" s="37" t="n">
        <v>387680</v>
      </c>
      <c r="F711" s="37" t="n">
        <v>49470</v>
      </c>
      <c r="G711" s="68" t="n"/>
      <c r="H711" s="68">
        <f>E711*G711</f>
        <v/>
      </c>
      <c r="I711" s="68">
        <f>F711*G711</f>
        <v/>
      </c>
      <c r="J711" s="68">
        <f>SUM(H711:I711)</f>
        <v/>
      </c>
      <c r="K711" s="43" t="n"/>
    </row>
    <row r="712" hidden="1" ht="29" customHeight="1">
      <c r="A712" s="35" t="n">
        <v>704</v>
      </c>
      <c r="B712" s="40" t="inlineStr">
        <is>
          <t>M-RP-GJ-2</t>
        </is>
      </c>
      <c r="C712" s="36" t="inlineStr">
        <is>
          <t>RISER PIPA 2,00" GALVANIS MEDIUM UTK KABEL TURUN/NAIK CATUAN KT/KU PADA TIANG/DINDING</t>
        </is>
      </c>
      <c r="D712" s="35" t="inlineStr">
        <is>
          <t>Unit</t>
        </is>
      </c>
      <c r="E712" s="37" t="n">
        <v>387680</v>
      </c>
      <c r="F712" s="42" t="n">
        <v>0</v>
      </c>
      <c r="G712" s="68" t="n"/>
      <c r="H712" s="68">
        <f>E712*G712</f>
        <v/>
      </c>
      <c r="I712" s="68">
        <f>F712*G712</f>
        <v/>
      </c>
      <c r="J712" s="68">
        <f>SUM(H712:I712)</f>
        <v/>
      </c>
      <c r="K712" s="43" t="n"/>
    </row>
    <row r="713" hidden="1" ht="29" customHeight="1">
      <c r="A713" s="35" t="n">
        <v>705</v>
      </c>
      <c r="B713" s="40" t="inlineStr">
        <is>
          <t>J-RP-GJ-2</t>
        </is>
      </c>
      <c r="C713" s="36" t="inlineStr">
        <is>
          <t>RISER PIPA 2,00" GALVANIS MEDIUM UTK KABEL TURUN/NAIK CATUAN KT/KU PADA TIANG/DINDING</t>
        </is>
      </c>
      <c r="D713" s="35" t="inlineStr">
        <is>
          <t>Unit</t>
        </is>
      </c>
      <c r="E713" s="42" t="n">
        <v>0</v>
      </c>
      <c r="F713" s="37" t="n">
        <v>49470</v>
      </c>
      <c r="G713" s="68" t="n"/>
      <c r="H713" s="68">
        <f>E713*G713</f>
        <v/>
      </c>
      <c r="I713" s="68">
        <f>F713*G713</f>
        <v/>
      </c>
      <c r="J713" s="68">
        <f>SUM(H713:I713)</f>
        <v/>
      </c>
      <c r="K713" s="43" t="n"/>
    </row>
    <row r="714" hidden="1" ht="14.5" customHeight="1">
      <c r="A714" s="35" t="n">
        <v>706</v>
      </c>
      <c r="B714" s="35" t="inlineStr">
        <is>
          <t>S-CLAMP</t>
        </is>
      </c>
      <c r="C714" s="36" t="inlineStr">
        <is>
          <t>S-CLAMP PADA TIANG</t>
        </is>
      </c>
      <c r="D714" s="35" t="inlineStr">
        <is>
          <t>Bh</t>
        </is>
      </c>
      <c r="E714" s="37" t="n">
        <v>18700</v>
      </c>
      <c r="F714" s="37" t="n">
        <v>13200</v>
      </c>
      <c r="G714" s="68" t="n"/>
      <c r="H714" s="68">
        <f>E714*G714</f>
        <v/>
      </c>
      <c r="I714" s="68">
        <f>F714*G714</f>
        <v/>
      </c>
      <c r="J714" s="68">
        <f>SUM(H714:I714)</f>
        <v/>
      </c>
      <c r="K714" s="43" t="n"/>
    </row>
    <row r="715" hidden="1" ht="14.5" customHeight="1">
      <c r="A715" s="35" t="n">
        <v>707</v>
      </c>
      <c r="B715" s="40" t="inlineStr">
        <is>
          <t>M-S-CLAMP</t>
        </is>
      </c>
      <c r="C715" s="36" t="inlineStr">
        <is>
          <t>S-CLAMP PADA TIANG</t>
        </is>
      </c>
      <c r="D715" s="35" t="inlineStr">
        <is>
          <t>Bh</t>
        </is>
      </c>
      <c r="E715" s="37" t="n">
        <v>18700</v>
      </c>
      <c r="F715" s="42" t="n">
        <v>0</v>
      </c>
      <c r="G715" s="68" t="n"/>
      <c r="H715" s="68">
        <f>E715*G715</f>
        <v/>
      </c>
      <c r="I715" s="68">
        <f>F715*G715</f>
        <v/>
      </c>
      <c r="J715" s="68">
        <f>SUM(H715:I715)</f>
        <v/>
      </c>
      <c r="K715" s="43" t="n"/>
    </row>
    <row r="716" hidden="1" ht="14.5" customHeight="1">
      <c r="A716" s="35" t="n">
        <v>708</v>
      </c>
      <c r="B716" s="40" t="inlineStr">
        <is>
          <t>J-S-CLAMP</t>
        </is>
      </c>
      <c r="C716" s="36" t="inlineStr">
        <is>
          <t>S-CLAMP PADA TIANG</t>
        </is>
      </c>
      <c r="D716" s="35" t="inlineStr">
        <is>
          <t>Bh</t>
        </is>
      </c>
      <c r="E716" s="42" t="n">
        <v>0</v>
      </c>
      <c r="F716" s="37" t="n">
        <v>13200</v>
      </c>
      <c r="G716" s="68" t="n"/>
      <c r="H716" s="68">
        <f>E716*G716</f>
        <v/>
      </c>
      <c r="I716" s="68">
        <f>F716*G716</f>
        <v/>
      </c>
      <c r="J716" s="68">
        <f>SUM(H716:I716)</f>
        <v/>
      </c>
      <c r="K716" s="43" t="n"/>
    </row>
    <row r="717" hidden="1" ht="14.5" customHeight="1">
      <c r="A717" s="35" t="n">
        <v>709</v>
      </c>
      <c r="B717" s="35" t="inlineStr">
        <is>
          <t>SUS-CAP</t>
        </is>
      </c>
      <c r="C717" s="36" t="inlineStr">
        <is>
          <t>SUSPENSION CAPIT</t>
        </is>
      </c>
      <c r="D717" s="35" t="inlineStr">
        <is>
          <t>Bh</t>
        </is>
      </c>
      <c r="E717" s="37" t="n">
        <v>37400</v>
      </c>
      <c r="F717" s="37" t="n">
        <v>15400</v>
      </c>
      <c r="G717" s="68" t="n"/>
      <c r="H717" s="68">
        <f>E717*G717</f>
        <v/>
      </c>
      <c r="I717" s="68">
        <f>F717*G717</f>
        <v/>
      </c>
      <c r="J717" s="68">
        <f>SUM(H717:I717)</f>
        <v/>
      </c>
      <c r="K717" s="43" t="n"/>
    </row>
    <row r="718" hidden="1" ht="14.5" customHeight="1">
      <c r="A718" s="35" t="n">
        <v>710</v>
      </c>
      <c r="B718" s="40" t="inlineStr">
        <is>
          <t>M-SUS-CAP</t>
        </is>
      </c>
      <c r="C718" s="36" t="inlineStr">
        <is>
          <t>SUSPENSION CAPIT</t>
        </is>
      </c>
      <c r="D718" s="35" t="inlineStr">
        <is>
          <t>Bh</t>
        </is>
      </c>
      <c r="E718" s="37" t="n">
        <v>37400</v>
      </c>
      <c r="F718" s="42" t="n">
        <v>0</v>
      </c>
      <c r="G718" s="68" t="n"/>
      <c r="H718" s="68">
        <f>E718*G718</f>
        <v/>
      </c>
      <c r="I718" s="68">
        <f>F718*G718</f>
        <v/>
      </c>
      <c r="J718" s="68">
        <f>SUM(H718:I718)</f>
        <v/>
      </c>
      <c r="K718" s="43" t="n"/>
    </row>
    <row r="719" hidden="1" ht="14.5" customHeight="1">
      <c r="A719" s="35" t="n">
        <v>711</v>
      </c>
      <c r="B719" s="40" t="inlineStr">
        <is>
          <t>J-SUS-CAP</t>
        </is>
      </c>
      <c r="C719" s="36" t="inlineStr">
        <is>
          <t>SUSPENSION CAPIT</t>
        </is>
      </c>
      <c r="D719" s="35" t="inlineStr">
        <is>
          <t>Bh</t>
        </is>
      </c>
      <c r="E719" s="42" t="n">
        <v>0</v>
      </c>
      <c r="F719" s="37" t="n">
        <v>15400</v>
      </c>
      <c r="G719" s="68" t="n"/>
      <c r="H719" s="68">
        <f>E719*G719</f>
        <v/>
      </c>
      <c r="I719" s="68">
        <f>F719*G719</f>
        <v/>
      </c>
      <c r="J719" s="68">
        <f>SUM(H719:I719)</f>
        <v/>
      </c>
      <c r="K719" s="43" t="n"/>
    </row>
    <row r="720" hidden="1" ht="14.5" customHeight="1">
      <c r="A720" s="35" t="n">
        <v>712</v>
      </c>
      <c r="B720" s="35" t="inlineStr">
        <is>
          <t>SLACK-SUPP</t>
        </is>
      </c>
      <c r="C720" s="36" t="inlineStr">
        <is>
          <t>PENGADAAN SLACK SUPPORT</t>
        </is>
      </c>
      <c r="D720" s="35" t="inlineStr">
        <is>
          <t>Pcs</t>
        </is>
      </c>
      <c r="E720" s="37" t="n">
        <v>125903</v>
      </c>
      <c r="F720" s="37" t="n">
        <v>17600</v>
      </c>
      <c r="G720" s="68" t="n"/>
      <c r="H720" s="68">
        <f>E720*G720</f>
        <v/>
      </c>
      <c r="I720" s="68">
        <f>F720*G720</f>
        <v/>
      </c>
      <c r="J720" s="68">
        <f>SUM(H720:I720)</f>
        <v/>
      </c>
      <c r="K720" s="43" t="n"/>
    </row>
    <row r="721" hidden="1" ht="14.5" customHeight="1">
      <c r="A721" s="35" t="n">
        <v>713</v>
      </c>
      <c r="B721" s="40" t="inlineStr">
        <is>
          <t>M-SLACK-SUPP</t>
        </is>
      </c>
      <c r="C721" s="36" t="inlineStr">
        <is>
          <t>PENGADAAN SLACK SUPPORT</t>
        </is>
      </c>
      <c r="D721" s="35" t="inlineStr">
        <is>
          <t>Pcs</t>
        </is>
      </c>
      <c r="E721" s="37" t="n">
        <v>125903</v>
      </c>
      <c r="F721" s="42" t="n">
        <v>0</v>
      </c>
      <c r="G721" s="68" t="n"/>
      <c r="H721" s="68">
        <f>E721*G721</f>
        <v/>
      </c>
      <c r="I721" s="68">
        <f>F721*G721</f>
        <v/>
      </c>
      <c r="J721" s="68">
        <f>SUM(H721:I721)</f>
        <v/>
      </c>
      <c r="K721" s="43" t="n"/>
    </row>
    <row r="722" hidden="1" ht="14.5" customHeight="1">
      <c r="A722" s="35" t="n">
        <v>714</v>
      </c>
      <c r="B722" s="40" t="inlineStr">
        <is>
          <t>J-SLACK-SUPP</t>
        </is>
      </c>
      <c r="C722" s="36" t="inlineStr">
        <is>
          <t>PENGADAAN SLACK SUPPORT</t>
        </is>
      </c>
      <c r="D722" s="35" t="inlineStr">
        <is>
          <t>Pcs</t>
        </is>
      </c>
      <c r="E722" s="42" t="n">
        <v>0</v>
      </c>
      <c r="F722" s="37" t="n">
        <v>17600</v>
      </c>
      <c r="G722" s="68" t="n"/>
      <c r="H722" s="68">
        <f>E722*G722</f>
        <v/>
      </c>
      <c r="I722" s="68">
        <f>F722*G722</f>
        <v/>
      </c>
      <c r="J722" s="68">
        <f>SUM(H722:I722)</f>
        <v/>
      </c>
      <c r="K722" s="43" t="n"/>
    </row>
    <row r="723" hidden="1" ht="14.5" customHeight="1">
      <c r="A723" s="35" t="n">
        <v>715</v>
      </c>
      <c r="B723" s="35" t="inlineStr">
        <is>
          <t>ODP-KLEM-COOKER</t>
        </is>
      </c>
      <c r="C723" s="36" t="inlineStr">
        <is>
          <t>KLEM COOCKER ODP SOLID</t>
        </is>
      </c>
      <c r="D723" s="35" t="inlineStr">
        <is>
          <t>pcs</t>
        </is>
      </c>
      <c r="E723" s="37" t="n">
        <v>25300</v>
      </c>
      <c r="F723" s="37" t="n">
        <v>26400</v>
      </c>
      <c r="G723" s="68" t="n"/>
      <c r="H723" s="68">
        <f>E723*G723</f>
        <v/>
      </c>
      <c r="I723" s="68">
        <f>F723*G723</f>
        <v/>
      </c>
      <c r="J723" s="68">
        <f>SUM(H723:I723)</f>
        <v/>
      </c>
      <c r="K723" s="43" t="n"/>
    </row>
    <row r="724" hidden="1" ht="14.5" customHeight="1">
      <c r="A724" s="35" t="n">
        <v>716</v>
      </c>
      <c r="B724" s="40" t="inlineStr">
        <is>
          <t>M-ODP-KLEM-COOKER</t>
        </is>
      </c>
      <c r="C724" s="36" t="inlineStr">
        <is>
          <t>KLEM COOCKER ODP SOLID</t>
        </is>
      </c>
      <c r="D724" s="35" t="inlineStr">
        <is>
          <t>pcs</t>
        </is>
      </c>
      <c r="E724" s="37" t="n">
        <v>25300</v>
      </c>
      <c r="F724" s="42" t="n">
        <v>0</v>
      </c>
      <c r="G724" s="68" t="n"/>
      <c r="H724" s="68">
        <f>E724*G724</f>
        <v/>
      </c>
      <c r="I724" s="68">
        <f>F724*G724</f>
        <v/>
      </c>
      <c r="J724" s="68">
        <f>SUM(H724:I724)</f>
        <v/>
      </c>
      <c r="K724" s="43" t="n"/>
    </row>
    <row r="725" hidden="1" ht="14.5" customHeight="1">
      <c r="A725" s="35" t="n">
        <v>717</v>
      </c>
      <c r="B725" s="40" t="inlineStr">
        <is>
          <t>J-ODP-KLEM-COOKER</t>
        </is>
      </c>
      <c r="C725" s="36" t="inlineStr">
        <is>
          <t>KLEM COOCKER ODP SOLID</t>
        </is>
      </c>
      <c r="D725" s="35" t="inlineStr">
        <is>
          <t>pcs</t>
        </is>
      </c>
      <c r="E725" s="42" t="n">
        <v>0</v>
      </c>
      <c r="F725" s="37" t="n">
        <v>26400</v>
      </c>
      <c r="G725" s="68" t="n"/>
      <c r="H725" s="68">
        <f>E725*G725</f>
        <v/>
      </c>
      <c r="I725" s="68">
        <f>F725*G725</f>
        <v/>
      </c>
      <c r="J725" s="68">
        <f>SUM(H725:I725)</f>
        <v/>
      </c>
      <c r="K725" s="43" t="n"/>
    </row>
    <row r="726" hidden="1" ht="14.5" customHeight="1">
      <c r="A726" s="35" t="n">
        <v>718</v>
      </c>
      <c r="B726" s="35" t="inlineStr">
        <is>
          <t>ODP-KLEM-KU</t>
        </is>
      </c>
      <c r="C726" s="36" t="inlineStr">
        <is>
          <t>KLEM KABEL UDARA ODP SOLID</t>
        </is>
      </c>
      <c r="D726" s="35" t="inlineStr">
        <is>
          <t>pcs</t>
        </is>
      </c>
      <c r="E726" s="37" t="n">
        <v>25300</v>
      </c>
      <c r="F726" s="37" t="n">
        <v>26400</v>
      </c>
      <c r="G726" s="68" t="n"/>
      <c r="H726" s="68">
        <f>E726*G726</f>
        <v/>
      </c>
      <c r="I726" s="68">
        <f>F726*G726</f>
        <v/>
      </c>
      <c r="J726" s="68">
        <f>SUM(H726:I726)</f>
        <v/>
      </c>
      <c r="K726" s="43" t="n"/>
    </row>
    <row r="727" hidden="1" ht="14.5" customHeight="1">
      <c r="A727" s="35" t="n">
        <v>719</v>
      </c>
      <c r="B727" s="40" t="inlineStr">
        <is>
          <t>M-ODP-KLEM-KU</t>
        </is>
      </c>
      <c r="C727" s="36" t="inlineStr">
        <is>
          <t>KLEM KABEL UDARA ODP SOLID</t>
        </is>
      </c>
      <c r="D727" s="35" t="inlineStr">
        <is>
          <t>pcs</t>
        </is>
      </c>
      <c r="E727" s="37" t="n">
        <v>25300</v>
      </c>
      <c r="F727" s="42" t="n">
        <v>0</v>
      </c>
      <c r="G727" s="68" t="n"/>
      <c r="H727" s="68">
        <f>E727*G727</f>
        <v/>
      </c>
      <c r="I727" s="68">
        <f>F727*G727</f>
        <v/>
      </c>
      <c r="J727" s="68">
        <f>SUM(H727:I727)</f>
        <v/>
      </c>
      <c r="K727" s="43" t="n"/>
    </row>
    <row r="728" hidden="1" ht="14.5" customHeight="1">
      <c r="A728" s="35" t="n">
        <v>720</v>
      </c>
      <c r="B728" s="40" t="inlineStr">
        <is>
          <t>J-ODP-KLEM-KU</t>
        </is>
      </c>
      <c r="C728" s="36" t="inlineStr">
        <is>
          <t>KLEM KABEL UDARA ODP SOLID</t>
        </is>
      </c>
      <c r="D728" s="35" t="inlineStr">
        <is>
          <t>pcs</t>
        </is>
      </c>
      <c r="E728" s="42" t="n">
        <v>0</v>
      </c>
      <c r="F728" s="37" t="n">
        <v>26400</v>
      </c>
      <c r="G728" s="68" t="n"/>
      <c r="H728" s="68">
        <f>E728*G728</f>
        <v/>
      </c>
      <c r="I728" s="68">
        <f>F728*G728</f>
        <v/>
      </c>
      <c r="J728" s="68">
        <f>SUM(H728:I728)</f>
        <v/>
      </c>
      <c r="K728" s="43" t="n"/>
    </row>
    <row r="729" hidden="1" ht="14.5" customHeight="1">
      <c r="A729" s="35" t="n">
        <v>721</v>
      </c>
      <c r="B729" s="35" t="inlineStr">
        <is>
          <t>ODP-RISE</t>
        </is>
      </c>
      <c r="C729" s="36" t="inlineStr">
        <is>
          <t>RISE PIPE (COOCKER) ODP SOLID</t>
        </is>
      </c>
      <c r="D729" s="35" t="inlineStr">
        <is>
          <t>Mtr</t>
        </is>
      </c>
      <c r="E729" s="37" t="n">
        <v>13920</v>
      </c>
      <c r="F729" s="37" t="n">
        <v>1700</v>
      </c>
      <c r="G729" s="68" t="n"/>
      <c r="H729" s="68">
        <f>E729*G729</f>
        <v/>
      </c>
      <c r="I729" s="68">
        <f>F729*G729</f>
        <v/>
      </c>
      <c r="J729" s="68">
        <f>SUM(H729:I729)</f>
        <v/>
      </c>
      <c r="K729" s="43" t="n"/>
    </row>
    <row r="730" hidden="1" ht="14.5" customHeight="1">
      <c r="A730" s="35" t="n">
        <v>722</v>
      </c>
      <c r="B730" s="40" t="inlineStr">
        <is>
          <t>M-ODP-RISE</t>
        </is>
      </c>
      <c r="C730" s="36" t="inlineStr">
        <is>
          <t>RISE PIPE (COOCKER) ODP SOLID</t>
        </is>
      </c>
      <c r="D730" s="35" t="inlineStr">
        <is>
          <t>Mtr</t>
        </is>
      </c>
      <c r="E730" s="37" t="n">
        <v>13920</v>
      </c>
      <c r="F730" s="42" t="n">
        <v>0</v>
      </c>
      <c r="G730" s="68" t="n"/>
      <c r="H730" s="68">
        <f>E730*G730</f>
        <v/>
      </c>
      <c r="I730" s="68">
        <f>F730*G730</f>
        <v/>
      </c>
      <c r="J730" s="68">
        <f>SUM(H730:I730)</f>
        <v/>
      </c>
      <c r="K730" s="43" t="n"/>
    </row>
    <row r="731" hidden="1" ht="14.5" customHeight="1">
      <c r="A731" s="35" t="n">
        <v>723</v>
      </c>
      <c r="B731" s="40" t="inlineStr">
        <is>
          <t>J-ODP-RISE</t>
        </is>
      </c>
      <c r="C731" s="36" t="inlineStr">
        <is>
          <t>RISE PIPE (COOCKER) ODP SOLID</t>
        </is>
      </c>
      <c r="D731" s="35" t="inlineStr">
        <is>
          <t>Mtr</t>
        </is>
      </c>
      <c r="E731" s="42" t="n">
        <v>0</v>
      </c>
      <c r="F731" s="37" t="n">
        <v>1700</v>
      </c>
      <c r="G731" s="68" t="n"/>
      <c r="H731" s="68">
        <f>E731*G731</f>
        <v/>
      </c>
      <c r="I731" s="68">
        <f>F731*G731</f>
        <v/>
      </c>
      <c r="J731" s="68">
        <f>SUM(H731:I731)</f>
        <v/>
      </c>
      <c r="K731" s="43" t="n"/>
    </row>
    <row r="732" ht="29" customHeight="1">
      <c r="A732" s="35" t="n">
        <v>724</v>
      </c>
      <c r="B732" s="35" t="inlineStr">
        <is>
          <t>STAINLESS BELT</t>
        </is>
      </c>
      <c r="C732" s="36" t="inlineStr">
        <is>
          <t>PENGADAAN DAN PEMASANGAN AKSESORIS TIANG BESI STAINLESS BELT</t>
        </is>
      </c>
      <c r="D732" s="35" t="inlineStr">
        <is>
          <t>pcs</t>
        </is>
      </c>
      <c r="E732" s="37" t="n">
        <v>10290</v>
      </c>
      <c r="F732" s="37" t="n">
        <v>6280</v>
      </c>
      <c r="G732" s="68" t="n">
        <v>42</v>
      </c>
      <c r="H732" s="68">
        <f>E732*G732</f>
        <v/>
      </c>
      <c r="I732" s="68">
        <f>F732*G732</f>
        <v/>
      </c>
      <c r="J732" s="68">
        <f>SUM(H732:I732)</f>
        <v/>
      </c>
      <c r="K732" s="43" t="n"/>
    </row>
    <row r="733" hidden="1" ht="29" customHeight="1">
      <c r="A733" s="35" t="n">
        <v>725</v>
      </c>
      <c r="B733" s="40" t="inlineStr">
        <is>
          <t>M-STAINLESS BELT</t>
        </is>
      </c>
      <c r="C733" s="36" t="inlineStr">
        <is>
          <t>PENGADAAN DAN PEMASANGAN AKSESORIS TIANG BESI STAINLESS BELT</t>
        </is>
      </c>
      <c r="D733" s="35" t="inlineStr">
        <is>
          <t>pcs</t>
        </is>
      </c>
      <c r="E733" s="37" t="n">
        <v>10290</v>
      </c>
      <c r="F733" s="42" t="n">
        <v>0</v>
      </c>
      <c r="G733" s="68" t="n"/>
      <c r="H733" s="68">
        <f>E733*G733</f>
        <v/>
      </c>
      <c r="I733" s="68">
        <f>F733*G733</f>
        <v/>
      </c>
      <c r="J733" s="68">
        <f>SUM(H733:I733)</f>
        <v/>
      </c>
      <c r="K733" s="43" t="n"/>
    </row>
    <row r="734" hidden="1" ht="29" customHeight="1">
      <c r="A734" s="35" t="n">
        <v>726</v>
      </c>
      <c r="B734" s="40" t="inlineStr">
        <is>
          <t>J-STAINLESS BELT</t>
        </is>
      </c>
      <c r="C734" s="36" t="inlineStr">
        <is>
          <t>PENGADAAN DAN PEMASANGAN AKSESORIS TIANG BESI STAINLESS BELT</t>
        </is>
      </c>
      <c r="D734" s="35" t="inlineStr">
        <is>
          <t>pcs</t>
        </is>
      </c>
      <c r="E734" s="42" t="n">
        <v>0</v>
      </c>
      <c r="F734" s="37" t="n">
        <v>6280</v>
      </c>
      <c r="G734" s="68" t="n"/>
      <c r="H734" s="68">
        <f>E734*G734</f>
        <v/>
      </c>
      <c r="I734" s="68">
        <f>F734*G734</f>
        <v/>
      </c>
      <c r="J734" s="68">
        <f>SUM(H734:I734)</f>
        <v/>
      </c>
      <c r="K734" s="43" t="n"/>
    </row>
    <row r="735" hidden="1" ht="14.5" customHeight="1">
      <c r="A735" s="35" t="n">
        <v>727</v>
      </c>
      <c r="B735" s="35" t="inlineStr">
        <is>
          <t>BUCKLE</t>
        </is>
      </c>
      <c r="C735" s="36" t="inlineStr">
        <is>
          <t>PENGADAAN DAN PEMASANGAN AKSESORIS TIANG BESI BUCKLE</t>
        </is>
      </c>
      <c r="D735" s="35" t="inlineStr">
        <is>
          <t>pcs</t>
        </is>
      </c>
      <c r="E735" s="37" t="n">
        <v>1820</v>
      </c>
      <c r="F735" s="37" t="n">
        <v>1110</v>
      </c>
      <c r="G735" s="68" t="n"/>
      <c r="H735" s="68">
        <f>E735*G735</f>
        <v/>
      </c>
      <c r="I735" s="68">
        <f>F735*G735</f>
        <v/>
      </c>
      <c r="J735" s="68">
        <f>SUM(H735:I735)</f>
        <v/>
      </c>
      <c r="K735" s="43" t="n"/>
    </row>
    <row r="736" hidden="1" ht="14.5" customHeight="1">
      <c r="A736" s="35" t="n">
        <v>728</v>
      </c>
      <c r="B736" s="40" t="inlineStr">
        <is>
          <t>M-BUCKLE</t>
        </is>
      </c>
      <c r="C736" s="36" t="inlineStr">
        <is>
          <t>PENGADAAN DAN PEMASANGAN AKSESORIS TIANG BESI BUCKLE</t>
        </is>
      </c>
      <c r="D736" s="35" t="inlineStr">
        <is>
          <t>pcs</t>
        </is>
      </c>
      <c r="E736" s="37" t="n">
        <v>1820</v>
      </c>
      <c r="F736" s="42" t="n">
        <v>0</v>
      </c>
      <c r="G736" s="68" t="n"/>
      <c r="H736" s="68">
        <f>E736*G736</f>
        <v/>
      </c>
      <c r="I736" s="68">
        <f>F736*G736</f>
        <v/>
      </c>
      <c r="J736" s="68">
        <f>SUM(H736:I736)</f>
        <v/>
      </c>
      <c r="K736" s="43" t="n"/>
    </row>
    <row r="737" hidden="1" ht="14.5" customHeight="1">
      <c r="A737" s="35" t="n">
        <v>729</v>
      </c>
      <c r="B737" s="40" t="inlineStr">
        <is>
          <t>J-BUCKLE</t>
        </is>
      </c>
      <c r="C737" s="36" t="inlineStr">
        <is>
          <t>PENGADAAN DAN PEMASANGAN AKSESORIS TIANG BESI BUCKLE</t>
        </is>
      </c>
      <c r="D737" s="35" t="inlineStr">
        <is>
          <t>pcs</t>
        </is>
      </c>
      <c r="E737" s="42" t="n">
        <v>0</v>
      </c>
      <c r="F737" s="37" t="n">
        <v>1110</v>
      </c>
      <c r="G737" s="68" t="n"/>
      <c r="H737" s="68">
        <f>E737*G737</f>
        <v/>
      </c>
      <c r="I737" s="68">
        <f>F737*G737</f>
        <v/>
      </c>
      <c r="J737" s="68">
        <f>SUM(H737:I737)</f>
        <v/>
      </c>
      <c r="K737" s="43" t="n"/>
    </row>
    <row r="738" hidden="1" ht="29" customHeight="1">
      <c r="A738" s="35" t="n">
        <v>730</v>
      </c>
      <c r="B738" s="35" t="inlineStr">
        <is>
          <t>SUSPENSION AYUN</t>
        </is>
      </c>
      <c r="C738" s="36" t="inlineStr">
        <is>
          <t>PENGADAAN DAN PEMASANGAN AKSESORIS TIANG BESI SUSPENSION AYUN</t>
        </is>
      </c>
      <c r="D738" s="35" t="inlineStr">
        <is>
          <t>pcs</t>
        </is>
      </c>
      <c r="E738" s="37" t="n">
        <v>27230</v>
      </c>
      <c r="F738" s="37" t="n">
        <v>15370</v>
      </c>
      <c r="G738" s="68" t="n"/>
      <c r="H738" s="68">
        <f>E738*G738</f>
        <v/>
      </c>
      <c r="I738" s="68">
        <f>F738*G738</f>
        <v/>
      </c>
      <c r="J738" s="68">
        <f>SUM(H738:I738)</f>
        <v/>
      </c>
      <c r="K738" s="43" t="n"/>
    </row>
    <row r="739" hidden="1" ht="29" customHeight="1">
      <c r="A739" s="35" t="n">
        <v>731</v>
      </c>
      <c r="B739" s="40" t="inlineStr">
        <is>
          <t>M-SUSPENSION AYUN</t>
        </is>
      </c>
      <c r="C739" s="36" t="inlineStr">
        <is>
          <t>PENGADAAN DAN PEMASANGAN AKSESORIS TIANG BESI SUSPENSION AYUN</t>
        </is>
      </c>
      <c r="D739" s="35" t="inlineStr">
        <is>
          <t>pcs</t>
        </is>
      </c>
      <c r="E739" s="37" t="n">
        <v>27230</v>
      </c>
      <c r="F739" s="42" t="n">
        <v>0</v>
      </c>
      <c r="G739" s="68" t="n"/>
      <c r="H739" s="68">
        <f>E739*G739</f>
        <v/>
      </c>
      <c r="I739" s="68">
        <f>F739*G739</f>
        <v/>
      </c>
      <c r="J739" s="68">
        <f>SUM(H739:I739)</f>
        <v/>
      </c>
      <c r="K739" s="43" t="n"/>
    </row>
    <row r="740" hidden="1" ht="29" customHeight="1">
      <c r="A740" s="35" t="n">
        <v>732</v>
      </c>
      <c r="B740" s="40" t="inlineStr">
        <is>
          <t>J-SUSPENSION AYUN</t>
        </is>
      </c>
      <c r="C740" s="36" t="inlineStr">
        <is>
          <t>PENGADAAN DAN PEMASANGAN AKSESORIS TIANG BESI SUSPENSION AYUN</t>
        </is>
      </c>
      <c r="D740" s="35" t="inlineStr">
        <is>
          <t>pcs</t>
        </is>
      </c>
      <c r="E740" s="42" t="n">
        <v>0</v>
      </c>
      <c r="F740" s="37" t="n">
        <v>15370</v>
      </c>
      <c r="G740" s="68" t="n"/>
      <c r="H740" s="68">
        <f>E740*G740</f>
        <v/>
      </c>
      <c r="I740" s="68">
        <f>F740*G740</f>
        <v/>
      </c>
      <c r="J740" s="68">
        <f>SUM(H740:I740)</f>
        <v/>
      </c>
      <c r="K740" s="43" t="n"/>
    </row>
    <row r="741" hidden="1" ht="29" customHeight="1">
      <c r="A741" s="35" t="n">
        <v>733</v>
      </c>
      <c r="B741" s="35" t="inlineStr">
        <is>
          <t>POLESTRAP SPIRAL</t>
        </is>
      </c>
      <c r="C741" s="36" t="inlineStr">
        <is>
          <t>PENGADAAN DAN PEMASANGAN AKSESORIS TIANG BESI POLESTRAP SPIRAL</t>
        </is>
      </c>
      <c r="D741" s="35" t="inlineStr">
        <is>
          <t>pcs</t>
        </is>
      </c>
      <c r="E741" s="37" t="n">
        <v>21180</v>
      </c>
      <c r="F741" s="37" t="n">
        <v>11960</v>
      </c>
      <c r="G741" s="68" t="n"/>
      <c r="H741" s="68">
        <f>E741*G741</f>
        <v/>
      </c>
      <c r="I741" s="68">
        <f>F741*G741</f>
        <v/>
      </c>
      <c r="J741" s="68">
        <f>SUM(H741:I741)</f>
        <v/>
      </c>
      <c r="K741" s="43" t="n"/>
    </row>
    <row r="742" hidden="1" ht="29" customHeight="1">
      <c r="A742" s="35" t="n">
        <v>734</v>
      </c>
      <c r="B742" s="40" t="inlineStr">
        <is>
          <t>M-POLESTRAP SPIRAL</t>
        </is>
      </c>
      <c r="C742" s="36" t="inlineStr">
        <is>
          <t>PENGADAAN DAN PEMASANGAN AKSESORIS TIANG BESI POLESTRAP SPIRAL</t>
        </is>
      </c>
      <c r="D742" s="35" t="inlineStr">
        <is>
          <t>pcs</t>
        </is>
      </c>
      <c r="E742" s="37" t="n">
        <v>21180</v>
      </c>
      <c r="F742" s="42" t="n">
        <v>0</v>
      </c>
      <c r="G742" s="68" t="n"/>
      <c r="H742" s="68">
        <f>E742*G742</f>
        <v/>
      </c>
      <c r="I742" s="68">
        <f>F742*G742</f>
        <v/>
      </c>
      <c r="J742" s="68">
        <f>SUM(H742:I742)</f>
        <v/>
      </c>
      <c r="K742" s="43" t="n"/>
    </row>
    <row r="743" hidden="1" ht="29" customHeight="1">
      <c r="A743" s="35" t="n">
        <v>735</v>
      </c>
      <c r="B743" s="40" t="inlineStr">
        <is>
          <t>J-POLESTRAP SPIRAL</t>
        </is>
      </c>
      <c r="C743" s="36" t="inlineStr">
        <is>
          <t>PENGADAAN DAN PEMASANGAN AKSESORIS TIANG BESI POLESTRAP SPIRAL</t>
        </is>
      </c>
      <c r="D743" s="35" t="inlineStr">
        <is>
          <t>pcs</t>
        </is>
      </c>
      <c r="E743" s="42" t="n">
        <v>0</v>
      </c>
      <c r="F743" s="37" t="n">
        <v>11960</v>
      </c>
      <c r="G743" s="68" t="n"/>
      <c r="H743" s="68">
        <f>E743*G743</f>
        <v/>
      </c>
      <c r="I743" s="68">
        <f>F743*G743</f>
        <v/>
      </c>
      <c r="J743" s="68">
        <f>SUM(H743:I743)</f>
        <v/>
      </c>
      <c r="K743" s="43" t="n"/>
    </row>
    <row r="744" hidden="1" ht="29" customHeight="1">
      <c r="A744" s="35" t="n">
        <v>736</v>
      </c>
      <c r="B744" s="35" t="inlineStr">
        <is>
          <t>ANCHORING</t>
        </is>
      </c>
      <c r="C744" s="36" t="inlineStr">
        <is>
          <t>PENGADAAN DAN PEMASANGAN AKSESORIS TIANG BESI ANCHORING</t>
        </is>
      </c>
      <c r="D744" s="35" t="inlineStr">
        <is>
          <t>pcs</t>
        </is>
      </c>
      <c r="E744" s="37" t="n">
        <v>36300</v>
      </c>
      <c r="F744" s="37" t="n">
        <v>16630</v>
      </c>
      <c r="G744" s="68" t="n"/>
      <c r="H744" s="68">
        <f>E744*G744</f>
        <v/>
      </c>
      <c r="I744" s="68">
        <f>F744*G744</f>
        <v/>
      </c>
      <c r="J744" s="68">
        <f>SUM(H744:I744)</f>
        <v/>
      </c>
      <c r="K744" s="43" t="n"/>
    </row>
    <row r="745" hidden="1" ht="29" customHeight="1">
      <c r="A745" s="35" t="n">
        <v>737</v>
      </c>
      <c r="B745" s="40" t="inlineStr">
        <is>
          <t>M-ANCHORING</t>
        </is>
      </c>
      <c r="C745" s="36" t="inlineStr">
        <is>
          <t>PENGADAAN DAN PEMASANGAN AKSESORIS TIANG BESI ANCHORING</t>
        </is>
      </c>
      <c r="D745" s="35" t="inlineStr">
        <is>
          <t>pcs</t>
        </is>
      </c>
      <c r="E745" s="37" t="n">
        <v>36300</v>
      </c>
      <c r="F745" s="42" t="n">
        <v>0</v>
      </c>
      <c r="G745" s="68" t="n"/>
      <c r="H745" s="68">
        <f>E745*G745</f>
        <v/>
      </c>
      <c r="I745" s="68">
        <f>F745*G745</f>
        <v/>
      </c>
      <c r="J745" s="68">
        <f>SUM(H745:I745)</f>
        <v/>
      </c>
      <c r="K745" s="43" t="n"/>
    </row>
    <row r="746" hidden="1" ht="29" customHeight="1">
      <c r="A746" s="35" t="n">
        <v>738</v>
      </c>
      <c r="B746" s="40" t="inlineStr">
        <is>
          <t>J-ANCHORING</t>
        </is>
      </c>
      <c r="C746" s="36" t="inlineStr">
        <is>
          <t>PENGADAAN DAN PEMASANGAN AKSESORIS TIANG BESI ANCHORING</t>
        </is>
      </c>
      <c r="D746" s="35" t="inlineStr">
        <is>
          <t>pcs</t>
        </is>
      </c>
      <c r="E746" s="42" t="n">
        <v>0</v>
      </c>
      <c r="F746" s="37" t="n">
        <v>16630</v>
      </c>
      <c r="G746" s="68" t="n"/>
      <c r="H746" s="68">
        <f>E746*G746</f>
        <v/>
      </c>
      <c r="I746" s="68">
        <f>F746*G746</f>
        <v/>
      </c>
      <c r="J746" s="68">
        <f>SUM(H746:I746)</f>
        <v/>
      </c>
      <c r="K746" s="43" t="n"/>
    </row>
    <row r="747" hidden="1" ht="29" customHeight="1">
      <c r="A747" s="35" t="n">
        <v>739</v>
      </c>
      <c r="B747" s="35" t="inlineStr">
        <is>
          <t>CLAMP HOOK/BRACKET PELANGGAN SPIRAL</t>
        </is>
      </c>
      <c r="C747" s="36" t="inlineStr">
        <is>
          <t>PENGADAAN DAN PEMASANGAN AKSESORIS TIANG BESI CLAMP HOK/BRACKET PELANGGAN SPIRAL</t>
        </is>
      </c>
      <c r="D747" s="35" t="inlineStr">
        <is>
          <t>pcs</t>
        </is>
      </c>
      <c r="E747" s="37" t="n">
        <v>12100</v>
      </c>
      <c r="F747" s="37" t="n">
        <v>12630</v>
      </c>
      <c r="G747" s="68" t="n"/>
      <c r="H747" s="68">
        <f>E747*G747</f>
        <v/>
      </c>
      <c r="I747" s="68">
        <f>F747*G747</f>
        <v/>
      </c>
      <c r="J747" s="68">
        <f>SUM(H747:I747)</f>
        <v/>
      </c>
      <c r="K747" s="43" t="n"/>
    </row>
    <row r="748" hidden="1" ht="29" customHeight="1">
      <c r="A748" s="35" t="n">
        <v>740</v>
      </c>
      <c r="B748" s="40" t="inlineStr">
        <is>
          <t>M-CLAMP HOOK/BRACKET PELANGGAN SPIRAL</t>
        </is>
      </c>
      <c r="C748" s="36" t="inlineStr">
        <is>
          <t>PENGADAAN DAN PEMASANGAN AKSESORIS TIANG BESI CLAMP HOK/BRACKET PELANGGAN SPIRAL</t>
        </is>
      </c>
      <c r="D748" s="35" t="inlineStr">
        <is>
          <t>pcs</t>
        </is>
      </c>
      <c r="E748" s="37" t="n">
        <v>12100</v>
      </c>
      <c r="F748" s="42" t="n">
        <v>0</v>
      </c>
      <c r="G748" s="68" t="n"/>
      <c r="H748" s="68">
        <f>E748*G748</f>
        <v/>
      </c>
      <c r="I748" s="68">
        <f>F748*G748</f>
        <v/>
      </c>
      <c r="J748" s="68">
        <f>SUM(H748:I748)</f>
        <v/>
      </c>
      <c r="K748" s="43" t="n"/>
    </row>
    <row r="749" hidden="1" ht="29" customHeight="1">
      <c r="A749" s="35" t="n">
        <v>741</v>
      </c>
      <c r="B749" s="40" t="inlineStr">
        <is>
          <t>J-CLAMP HOOK/BRACKET PELANGGAN SPIRAL</t>
        </is>
      </c>
      <c r="C749" s="36" t="inlineStr">
        <is>
          <t>PENGADAAN DAN PEMASANGAN AKSESORIS TIANG BESI CLAMP HOK/BRACKET PELANGGAN SPIRAL</t>
        </is>
      </c>
      <c r="D749" s="35" t="inlineStr">
        <is>
          <t>pcs</t>
        </is>
      </c>
      <c r="E749" s="42" t="n">
        <v>0</v>
      </c>
      <c r="F749" s="37" t="n">
        <v>12630</v>
      </c>
      <c r="G749" s="68" t="n"/>
      <c r="H749" s="68">
        <f>E749*G749</f>
        <v/>
      </c>
      <c r="I749" s="68">
        <f>F749*G749</f>
        <v/>
      </c>
      <c r="J749" s="68">
        <f>SUM(H749:I749)</f>
        <v/>
      </c>
      <c r="K749" s="43" t="n"/>
    </row>
    <row r="750" hidden="1" ht="14.5" customHeight="1">
      <c r="A750" s="35" t="n">
        <v>742</v>
      </c>
      <c r="B750" s="35" t="inlineStr">
        <is>
          <t>TRIMBEL</t>
        </is>
      </c>
      <c r="C750" s="36" t="inlineStr">
        <is>
          <t>AKSESORIS TIANG BESI TRIMBEL</t>
        </is>
      </c>
      <c r="D750" s="35" t="inlineStr">
        <is>
          <t>pcs</t>
        </is>
      </c>
      <c r="E750" s="37" t="n">
        <v>14300</v>
      </c>
      <c r="F750" s="37" t="n">
        <v>4950</v>
      </c>
      <c r="G750" s="68" t="n"/>
      <c r="H750" s="68">
        <f>E750*G750</f>
        <v/>
      </c>
      <c r="I750" s="68">
        <f>F750*G750</f>
        <v/>
      </c>
      <c r="J750" s="68">
        <f>SUM(H750:I750)</f>
        <v/>
      </c>
      <c r="K750" s="43" t="n"/>
    </row>
    <row r="751" hidden="1" ht="14.5" customHeight="1">
      <c r="A751" s="35" t="n">
        <v>743</v>
      </c>
      <c r="B751" s="40" t="inlineStr">
        <is>
          <t>M-TRIMBEL</t>
        </is>
      </c>
      <c r="C751" s="36" t="inlineStr">
        <is>
          <t>AKSESORIS TIANG BESI TRIMBEL</t>
        </is>
      </c>
      <c r="D751" s="35" t="inlineStr">
        <is>
          <t>pcs</t>
        </is>
      </c>
      <c r="E751" s="37" t="n">
        <v>14300</v>
      </c>
      <c r="F751" s="42" t="n">
        <v>0</v>
      </c>
      <c r="G751" s="68" t="n"/>
      <c r="H751" s="68">
        <f>E751*G751</f>
        <v/>
      </c>
      <c r="I751" s="68">
        <f>F751*G751</f>
        <v/>
      </c>
      <c r="J751" s="68">
        <f>SUM(H751:I751)</f>
        <v/>
      </c>
      <c r="K751" s="43" t="n"/>
    </row>
    <row r="752" hidden="1" ht="14.5" customHeight="1">
      <c r="A752" s="35" t="n">
        <v>744</v>
      </c>
      <c r="B752" s="40" t="inlineStr">
        <is>
          <t>J-TRIMBEL</t>
        </is>
      </c>
      <c r="C752" s="36" t="inlineStr">
        <is>
          <t>AKSESORIS TIANG BESI TRIMBEL</t>
        </is>
      </c>
      <c r="D752" s="35" t="inlineStr">
        <is>
          <t>pcs</t>
        </is>
      </c>
      <c r="E752" s="42" t="n">
        <v>0</v>
      </c>
      <c r="F752" s="37" t="n">
        <v>4950</v>
      </c>
      <c r="G752" s="68" t="n"/>
      <c r="H752" s="68">
        <f>E752*G752</f>
        <v/>
      </c>
      <c r="I752" s="68">
        <f>F752*G752</f>
        <v/>
      </c>
      <c r="J752" s="68">
        <f>SUM(H752:I752)</f>
        <v/>
      </c>
      <c r="K752" s="43" t="n"/>
    </row>
    <row r="753" hidden="1" ht="14.5" customHeight="1">
      <c r="A753" s="35" t="n">
        <v>745</v>
      </c>
      <c r="B753" s="35" t="inlineStr">
        <is>
          <t>SW-BG-3/8"</t>
        </is>
      </c>
      <c r="C753" s="36" t="inlineStr">
        <is>
          <t>SPAN WARTEL DAN BULDOG GRIP 3/8"</t>
        </is>
      </c>
      <c r="D753" s="35" t="inlineStr">
        <is>
          <t>Bh</t>
        </is>
      </c>
      <c r="E753" s="37" t="n">
        <v>17590</v>
      </c>
      <c r="F753" s="37" t="n">
        <v>9930</v>
      </c>
      <c r="G753" s="68" t="n"/>
      <c r="H753" s="68">
        <f>E753*G753</f>
        <v/>
      </c>
      <c r="I753" s="68">
        <f>F753*G753</f>
        <v/>
      </c>
      <c r="J753" s="68">
        <f>SUM(H753:I753)</f>
        <v/>
      </c>
      <c r="K753" s="43" t="n"/>
    </row>
    <row r="754" hidden="1" ht="14.5" customHeight="1">
      <c r="A754" s="35" t="n">
        <v>746</v>
      </c>
      <c r="B754" s="40" t="inlineStr">
        <is>
          <t>M-SW-BG-3/8"</t>
        </is>
      </c>
      <c r="C754" s="36" t="inlineStr">
        <is>
          <t>SPAN WARTEL DAN BULDOG GRIP 3/8"</t>
        </is>
      </c>
      <c r="D754" s="35" t="inlineStr">
        <is>
          <t>Bh</t>
        </is>
      </c>
      <c r="E754" s="37" t="n">
        <v>17590</v>
      </c>
      <c r="F754" s="42" t="n">
        <v>0</v>
      </c>
      <c r="G754" s="68" t="n"/>
      <c r="H754" s="68">
        <f>E754*G754</f>
        <v/>
      </c>
      <c r="I754" s="68">
        <f>F754*G754</f>
        <v/>
      </c>
      <c r="J754" s="68">
        <f>SUM(H754:I754)</f>
        <v/>
      </c>
      <c r="K754" s="43" t="n"/>
    </row>
    <row r="755" hidden="1" ht="14.5" customHeight="1">
      <c r="A755" s="35" t="n">
        <v>747</v>
      </c>
      <c r="B755" s="40" t="inlineStr">
        <is>
          <t>J-SW-BG-3/8"</t>
        </is>
      </c>
      <c r="C755" s="36" t="inlineStr">
        <is>
          <t>SPAN WARTEL DAN BULDOG GRIP 3/8"</t>
        </is>
      </c>
      <c r="D755" s="35" t="inlineStr">
        <is>
          <t>Bh</t>
        </is>
      </c>
      <c r="E755" s="42" t="n">
        <v>0</v>
      </c>
      <c r="F755" s="37" t="n">
        <v>9930</v>
      </c>
      <c r="G755" s="68" t="n"/>
      <c r="H755" s="68">
        <f>E755*G755</f>
        <v/>
      </c>
      <c r="I755" s="68">
        <f>F755*G755</f>
        <v/>
      </c>
      <c r="J755" s="68">
        <f>SUM(H755:I755)</f>
        <v/>
      </c>
      <c r="K755" s="43" t="n"/>
    </row>
    <row r="756" hidden="1" ht="14.5" customHeight="1">
      <c r="A756" s="35" t="n">
        <v>748</v>
      </c>
      <c r="B756" s="35" t="inlineStr">
        <is>
          <t>SW-BG-5/8"</t>
        </is>
      </c>
      <c r="C756" s="36" t="inlineStr">
        <is>
          <t>SPAN WARTEL DAN BULDOG GRIP 5/8"</t>
        </is>
      </c>
      <c r="D756" s="35" t="inlineStr">
        <is>
          <t>Bh</t>
        </is>
      </c>
      <c r="E756" s="37" t="n">
        <v>32550</v>
      </c>
      <c r="F756" s="37" t="n">
        <v>15510</v>
      </c>
      <c r="G756" s="68" t="n"/>
      <c r="H756" s="68">
        <f>E756*G756</f>
        <v/>
      </c>
      <c r="I756" s="68">
        <f>F756*G756</f>
        <v/>
      </c>
      <c r="J756" s="68">
        <f>SUM(H756:I756)</f>
        <v/>
      </c>
      <c r="K756" s="43" t="n"/>
    </row>
    <row r="757" hidden="1" ht="14.5" customHeight="1">
      <c r="A757" s="35" t="n">
        <v>749</v>
      </c>
      <c r="B757" s="40" t="inlineStr">
        <is>
          <t>M-SW-BG-5/8"</t>
        </is>
      </c>
      <c r="C757" s="36" t="inlineStr">
        <is>
          <t>SPAN WARTEL DAN BULDOG GRIP 5/8"</t>
        </is>
      </c>
      <c r="D757" s="35" t="inlineStr">
        <is>
          <t>Bh</t>
        </is>
      </c>
      <c r="E757" s="37" t="n">
        <v>32550</v>
      </c>
      <c r="F757" s="42" t="n">
        <v>0</v>
      </c>
      <c r="G757" s="68" t="n"/>
      <c r="H757" s="68">
        <f>E757*G757</f>
        <v/>
      </c>
      <c r="I757" s="68">
        <f>F757*G757</f>
        <v/>
      </c>
      <c r="J757" s="68">
        <f>SUM(H757:I757)</f>
        <v/>
      </c>
      <c r="K757" s="43" t="n"/>
    </row>
    <row r="758" hidden="1" ht="14.5" customHeight="1">
      <c r="A758" s="35" t="n">
        <v>750</v>
      </c>
      <c r="B758" s="40" t="inlineStr">
        <is>
          <t>J-SW-BG-5/8"</t>
        </is>
      </c>
      <c r="C758" s="36" t="inlineStr">
        <is>
          <t>SPAN WARTEL DAN BULDOG GRIP 5/8"</t>
        </is>
      </c>
      <c r="D758" s="35" t="inlineStr">
        <is>
          <t>Bh</t>
        </is>
      </c>
      <c r="E758" s="42" t="n">
        <v>0</v>
      </c>
      <c r="F758" s="37" t="n">
        <v>15510</v>
      </c>
      <c r="G758" s="68" t="n"/>
      <c r="H758" s="68">
        <f>E758*G758</f>
        <v/>
      </c>
      <c r="I758" s="68">
        <f>F758*G758</f>
        <v/>
      </c>
      <c r="J758" s="68">
        <f>SUM(H758:I758)</f>
        <v/>
      </c>
      <c r="K758" s="43" t="n"/>
    </row>
    <row r="759" hidden="1" ht="14.5" customHeight="1">
      <c r="A759" s="35" t="n">
        <v>751</v>
      </c>
      <c r="B759" s="35" t="inlineStr">
        <is>
          <t>PG-2</t>
        </is>
      </c>
      <c r="C759" s="36" t="inlineStr">
        <is>
          <t>PIPA GUIDE DIA 2”</t>
        </is>
      </c>
      <c r="D759" s="35" t="inlineStr">
        <is>
          <t>Btg</t>
        </is>
      </c>
      <c r="E759" s="37" t="n">
        <v>22480</v>
      </c>
      <c r="F759" s="37" t="n">
        <v>0</v>
      </c>
      <c r="G759" s="68" t="n"/>
      <c r="H759" s="68">
        <f>E759*G759</f>
        <v/>
      </c>
      <c r="I759" s="68">
        <f>F759*G759</f>
        <v/>
      </c>
      <c r="J759" s="68">
        <f>SUM(H759:I759)</f>
        <v/>
      </c>
      <c r="K759" s="43" t="n"/>
    </row>
    <row r="760" hidden="1" ht="14.5" customHeight="1">
      <c r="A760" s="35" t="n">
        <v>752</v>
      </c>
      <c r="B760" s="40" t="inlineStr">
        <is>
          <t>M-PG-2</t>
        </is>
      </c>
      <c r="C760" s="36" t="inlineStr">
        <is>
          <t>PIPA GUIDE DIA 2”</t>
        </is>
      </c>
      <c r="D760" s="35" t="inlineStr">
        <is>
          <t>Btg</t>
        </is>
      </c>
      <c r="E760" s="37" t="n">
        <v>22480</v>
      </c>
      <c r="F760" s="42" t="n">
        <v>0</v>
      </c>
      <c r="G760" s="68" t="n"/>
      <c r="H760" s="68">
        <f>E760*G760</f>
        <v/>
      </c>
      <c r="I760" s="68">
        <f>F760*G760</f>
        <v/>
      </c>
      <c r="J760" s="68">
        <f>SUM(H760:I760)</f>
        <v/>
      </c>
      <c r="K760" s="43" t="n"/>
    </row>
    <row r="761" hidden="1" ht="14.5" customHeight="1">
      <c r="A761" s="35" t="n">
        <v>753</v>
      </c>
      <c r="B761" s="35" t="inlineStr">
        <is>
          <t>G-RING</t>
        </is>
      </c>
      <c r="C761" s="36" t="inlineStr">
        <is>
          <t>RING GUIDE TIANG</t>
        </is>
      </c>
      <c r="D761" s="35" t="inlineStr">
        <is>
          <t>Bh</t>
        </is>
      </c>
      <c r="E761" s="37" t="n">
        <v>5740</v>
      </c>
      <c r="F761" s="37" t="n">
        <v>0</v>
      </c>
      <c r="G761" s="68" t="n"/>
      <c r="H761" s="68">
        <f>E761*G761</f>
        <v/>
      </c>
      <c r="I761" s="68">
        <f>F761*G761</f>
        <v/>
      </c>
      <c r="J761" s="68">
        <f>SUM(H761:I761)</f>
        <v/>
      </c>
      <c r="K761" s="43" t="n"/>
    </row>
    <row r="762" hidden="1" ht="14.5" customHeight="1">
      <c r="A762" s="35" t="n">
        <v>754</v>
      </c>
      <c r="B762" s="40" t="inlineStr">
        <is>
          <t>M-G-RING</t>
        </is>
      </c>
      <c r="C762" s="36" t="inlineStr">
        <is>
          <t>RING GUIDE TIANG</t>
        </is>
      </c>
      <c r="D762" s="35" t="inlineStr">
        <is>
          <t>Bh</t>
        </is>
      </c>
      <c r="E762" s="37" t="n">
        <v>5740</v>
      </c>
      <c r="F762" s="42" t="n">
        <v>0</v>
      </c>
      <c r="G762" s="68" t="n"/>
      <c r="H762" s="68">
        <f>E762*G762</f>
        <v/>
      </c>
      <c r="I762" s="68">
        <f>F762*G762</f>
        <v/>
      </c>
      <c r="J762" s="68">
        <f>SUM(H762:I762)</f>
        <v/>
      </c>
      <c r="K762" s="43" t="n"/>
    </row>
    <row r="763" hidden="1" ht="14.5" customHeight="1">
      <c r="A763" s="35" t="n">
        <v>755</v>
      </c>
      <c r="B763" s="35" t="inlineStr">
        <is>
          <t>EC-4-10</t>
        </is>
      </c>
      <c r="C763" s="36" t="inlineStr">
        <is>
          <t>END CAP UKURAN 4-10</t>
        </is>
      </c>
      <c r="D763" s="35" t="inlineStr">
        <is>
          <t>Bh</t>
        </is>
      </c>
      <c r="E763" s="37" t="n">
        <v>3230</v>
      </c>
      <c r="F763" s="37" t="n">
        <v>720</v>
      </c>
      <c r="G763" s="68" t="n"/>
      <c r="H763" s="68">
        <f>E763*G763</f>
        <v/>
      </c>
      <c r="I763" s="68">
        <f>F763*G763</f>
        <v/>
      </c>
      <c r="J763" s="68">
        <f>SUM(H763:I763)</f>
        <v/>
      </c>
      <c r="K763" s="43" t="n"/>
    </row>
    <row r="764" hidden="1" ht="14.5" customHeight="1">
      <c r="A764" s="35" t="n">
        <v>756</v>
      </c>
      <c r="B764" s="40" t="inlineStr">
        <is>
          <t>M-EC-4-10</t>
        </is>
      </c>
      <c r="C764" s="36" t="inlineStr">
        <is>
          <t>END CAP UKURAN 4-10</t>
        </is>
      </c>
      <c r="D764" s="35" t="inlineStr">
        <is>
          <t>Bh</t>
        </is>
      </c>
      <c r="E764" s="37" t="n">
        <v>3230</v>
      </c>
      <c r="F764" s="42" t="n">
        <v>0</v>
      </c>
      <c r="G764" s="68" t="n"/>
      <c r="H764" s="68">
        <f>E764*G764</f>
        <v/>
      </c>
      <c r="I764" s="68">
        <f>F764*G764</f>
        <v/>
      </c>
      <c r="J764" s="68">
        <f>SUM(H764:I764)</f>
        <v/>
      </c>
      <c r="K764" s="43" t="n"/>
    </row>
    <row r="765" hidden="1" ht="14.5" customHeight="1">
      <c r="A765" s="35" t="n">
        <v>757</v>
      </c>
      <c r="B765" s="40" t="inlineStr">
        <is>
          <t>J-EC-4-10</t>
        </is>
      </c>
      <c r="C765" s="36" t="inlineStr">
        <is>
          <t>END CAP UKURAN 4-10</t>
        </is>
      </c>
      <c r="D765" s="35" t="inlineStr">
        <is>
          <t>Bh</t>
        </is>
      </c>
      <c r="E765" s="42" t="n">
        <v>0</v>
      </c>
      <c r="F765" s="37" t="n">
        <v>720</v>
      </c>
      <c r="G765" s="68" t="n"/>
      <c r="H765" s="68">
        <f>E765*G765</f>
        <v/>
      </c>
      <c r="I765" s="68">
        <f>F765*G765</f>
        <v/>
      </c>
      <c r="J765" s="68">
        <f>SUM(H765:I765)</f>
        <v/>
      </c>
      <c r="K765" s="43" t="n"/>
    </row>
    <row r="766" hidden="1" ht="29" customHeight="1">
      <c r="A766" s="35" t="n">
        <v>758</v>
      </c>
      <c r="B766" s="35" t="inlineStr">
        <is>
          <t>PP-OF-OUT</t>
        </is>
      </c>
      <c r="C766" s="36" t="inlineStr">
        <is>
          <t>PENGADAAN DAN PEMASANGAN PIPE PROTECTOR OUTDOOR CABLE ( PVC BLACK) HIGH IMPACT CONDUIT 20 MM</t>
        </is>
      </c>
      <c r="D766" s="35" t="inlineStr">
        <is>
          <t>Mtr</t>
        </is>
      </c>
      <c r="E766" s="37" t="n">
        <v>25092</v>
      </c>
      <c r="F766" s="37" t="n">
        <v>4187</v>
      </c>
      <c r="G766" s="68" t="n"/>
      <c r="H766" s="68">
        <f>E766*G766</f>
        <v/>
      </c>
      <c r="I766" s="68">
        <f>F766*G766</f>
        <v/>
      </c>
      <c r="J766" s="68">
        <f>SUM(H766:I766)</f>
        <v/>
      </c>
      <c r="K766" s="43" t="n"/>
    </row>
    <row r="767" hidden="1" ht="29" customHeight="1">
      <c r="A767" s="35" t="n">
        <v>759</v>
      </c>
      <c r="B767" s="40" t="inlineStr">
        <is>
          <t>M-PP-OF-OUT</t>
        </is>
      </c>
      <c r="C767" s="36" t="inlineStr">
        <is>
          <t>PENGADAAN DAN PEMASANGAN PIPE PROTECTOR OUTDOOR CABLE ( PVC BLACK) HIGH IMPACT CONDUIT 20 MM</t>
        </is>
      </c>
      <c r="D767" s="35" t="inlineStr">
        <is>
          <t>Mtr</t>
        </is>
      </c>
      <c r="E767" s="37" t="n">
        <v>25092</v>
      </c>
      <c r="F767" s="42" t="n">
        <v>0</v>
      </c>
      <c r="G767" s="68" t="n"/>
      <c r="H767" s="68">
        <f>E767*G767</f>
        <v/>
      </c>
      <c r="I767" s="68">
        <f>F767*G767</f>
        <v/>
      </c>
      <c r="J767" s="68">
        <f>SUM(H767:I767)</f>
        <v/>
      </c>
      <c r="K767" s="43" t="n"/>
    </row>
    <row r="768" hidden="1" ht="29" customHeight="1">
      <c r="A768" s="35" t="n">
        <v>760</v>
      </c>
      <c r="B768" s="40" t="inlineStr">
        <is>
          <t>J-PP-OF-OUT</t>
        </is>
      </c>
      <c r="C768" s="36" t="inlineStr">
        <is>
          <t>PENGADAAN DAN PEMASANGAN PIPE PROTECTOR OUTDOOR CABLE ( PVC BLACK) HIGH IMPACT CONDUIT 20 MM</t>
        </is>
      </c>
      <c r="D768" s="35" t="inlineStr">
        <is>
          <t>Mtr</t>
        </is>
      </c>
      <c r="E768" s="42" t="n">
        <v>0</v>
      </c>
      <c r="F768" s="37" t="n">
        <v>4187</v>
      </c>
      <c r="G768" s="68" t="n"/>
      <c r="H768" s="68">
        <f>E768*G768</f>
        <v/>
      </c>
      <c r="I768" s="68">
        <f>F768*G768</f>
        <v/>
      </c>
      <c r="J768" s="68">
        <f>SUM(H768:I768)</f>
        <v/>
      </c>
      <c r="K768" s="43" t="n"/>
    </row>
    <row r="769" hidden="1" ht="14.5" customHeight="1">
      <c r="A769" s="35" t="n">
        <v>761</v>
      </c>
      <c r="B769" s="35" t="inlineStr">
        <is>
          <t>UTP-6</t>
        </is>
      </c>
      <c r="C769" s="36" t="inlineStr">
        <is>
          <t>PENGADAAN DAN PEMASANGAN KABEL UTP CAT 6 PER 1 MTR</t>
        </is>
      </c>
      <c r="D769" s="35" t="inlineStr">
        <is>
          <t>Mtr</t>
        </is>
      </c>
      <c r="E769" s="37" t="n">
        <v>7820</v>
      </c>
      <c r="F769" s="37" t="n">
        <v>3960</v>
      </c>
      <c r="G769" s="68" t="n"/>
      <c r="H769" s="68">
        <f>E769*G769</f>
        <v/>
      </c>
      <c r="I769" s="68">
        <f>F769*G769</f>
        <v/>
      </c>
      <c r="J769" s="68">
        <f>SUM(H769:I769)</f>
        <v/>
      </c>
      <c r="K769" s="43" t="n"/>
    </row>
    <row r="770" hidden="1" ht="14.5" customHeight="1">
      <c r="A770" s="35" t="n">
        <v>762</v>
      </c>
      <c r="B770" s="40" t="inlineStr">
        <is>
          <t>M-UTP-6</t>
        </is>
      </c>
      <c r="C770" s="36" t="inlineStr">
        <is>
          <t>PENGADAAN DAN PEMASANGAN KABEL UTP CAT 6 PER 1 MTR</t>
        </is>
      </c>
      <c r="D770" s="35" t="inlineStr">
        <is>
          <t>Mtr</t>
        </is>
      </c>
      <c r="E770" s="37" t="n">
        <v>7820</v>
      </c>
      <c r="F770" s="42" t="n">
        <v>0</v>
      </c>
      <c r="G770" s="68" t="n"/>
      <c r="H770" s="68">
        <f>E770*G770</f>
        <v/>
      </c>
      <c r="I770" s="68">
        <f>F770*G770</f>
        <v/>
      </c>
      <c r="J770" s="68">
        <f>SUM(H770:I770)</f>
        <v/>
      </c>
      <c r="K770" s="43" t="n"/>
    </row>
    <row r="771" hidden="1" ht="14.5" customHeight="1">
      <c r="A771" s="35" t="n">
        <v>763</v>
      </c>
      <c r="B771" s="40" t="inlineStr">
        <is>
          <t>J-UTP-6</t>
        </is>
      </c>
      <c r="C771" s="36" t="inlineStr">
        <is>
          <t>PENGADAAN DAN PEMASANGAN KABEL UTP CAT 6 PER 1 MTR</t>
        </is>
      </c>
      <c r="D771" s="35" t="inlineStr">
        <is>
          <t>Mtr</t>
        </is>
      </c>
      <c r="E771" s="42" t="n">
        <v>0</v>
      </c>
      <c r="F771" s="37" t="n">
        <v>3960</v>
      </c>
      <c r="G771" s="68" t="n"/>
      <c r="H771" s="68">
        <f>E771*G771</f>
        <v/>
      </c>
      <c r="I771" s="68">
        <f>F771*G771</f>
        <v/>
      </c>
      <c r="J771" s="68">
        <f>SUM(H771:I771)</f>
        <v/>
      </c>
      <c r="K771" s="43" t="n"/>
    </row>
    <row r="772" hidden="1" ht="14.5" customHeight="1">
      <c r="A772" s="35" t="n">
        <v>764</v>
      </c>
      <c r="B772" s="35" t="inlineStr">
        <is>
          <t>RJ45-CAT6</t>
        </is>
      </c>
      <c r="C772" s="36" t="inlineStr">
        <is>
          <t>PENGADAAN CONNECTOR RJ45 CAT6</t>
        </is>
      </c>
      <c r="D772" s="35" t="inlineStr">
        <is>
          <t>Pcs</t>
        </is>
      </c>
      <c r="E772" s="37" t="n">
        <v>7150</v>
      </c>
      <c r="F772" s="37" t="n">
        <v>0</v>
      </c>
      <c r="G772" s="68" t="n"/>
      <c r="H772" s="68">
        <f>E772*G772</f>
        <v/>
      </c>
      <c r="I772" s="68">
        <f>F772*G772</f>
        <v/>
      </c>
      <c r="J772" s="68">
        <f>SUM(H772:I772)</f>
        <v/>
      </c>
      <c r="K772" s="43" t="n"/>
    </row>
    <row r="773" hidden="1" ht="14.5" customHeight="1">
      <c r="A773" s="35" t="n">
        <v>765</v>
      </c>
      <c r="B773" s="40" t="inlineStr">
        <is>
          <t>M-RJ45-CAT6</t>
        </is>
      </c>
      <c r="C773" s="36" t="inlineStr">
        <is>
          <t>PENGADAAN CONNECTOR RJ45 CAT6</t>
        </is>
      </c>
      <c r="D773" s="35" t="inlineStr">
        <is>
          <t>Pcs</t>
        </is>
      </c>
      <c r="E773" s="37" t="n">
        <v>7150</v>
      </c>
      <c r="F773" s="42" t="n">
        <v>0</v>
      </c>
      <c r="G773" s="68" t="n"/>
      <c r="H773" s="68">
        <f>E773*G773</f>
        <v/>
      </c>
      <c r="I773" s="68">
        <f>F773*G773</f>
        <v/>
      </c>
      <c r="J773" s="68">
        <f>SUM(H773:I773)</f>
        <v/>
      </c>
      <c r="K773" s="43" t="n"/>
    </row>
    <row r="774" hidden="1" ht="29" customHeight="1">
      <c r="A774" s="35" t="n">
        <v>766</v>
      </c>
      <c r="B774" s="35" t="inlineStr">
        <is>
          <t>TC-IN</t>
        </is>
      </c>
      <c r="C774" s="36" t="inlineStr">
        <is>
          <t>TRAY CABLE MAKSIMAL 10 X 5CM DI SISI OFFICE SESUAI SPACE RUANGAN</t>
        </is>
      </c>
      <c r="D774" s="35" t="inlineStr">
        <is>
          <t>Mtr</t>
        </is>
      </c>
      <c r="E774" s="37" t="n">
        <v>32820</v>
      </c>
      <c r="F774" s="37" t="n">
        <v>3960</v>
      </c>
      <c r="G774" s="68" t="n"/>
      <c r="H774" s="68">
        <f>E774*G774</f>
        <v/>
      </c>
      <c r="I774" s="68">
        <f>F774*G774</f>
        <v/>
      </c>
      <c r="J774" s="68">
        <f>SUM(H774:I774)</f>
        <v/>
      </c>
      <c r="K774" s="43" t="n"/>
    </row>
    <row r="775" hidden="1" ht="29" customHeight="1">
      <c r="A775" s="35" t="n">
        <v>767</v>
      </c>
      <c r="B775" s="40" t="inlineStr">
        <is>
          <t>M-TC-IN</t>
        </is>
      </c>
      <c r="C775" s="36" t="inlineStr">
        <is>
          <t>TRAY CABLE MAKSIMAL 10 X 5CM DI SISI OFFICE SESUAI SPACE RUANGAN</t>
        </is>
      </c>
      <c r="D775" s="35" t="inlineStr">
        <is>
          <t>Mtr</t>
        </is>
      </c>
      <c r="E775" s="37" t="n">
        <v>32820</v>
      </c>
      <c r="F775" s="42" t="n">
        <v>0</v>
      </c>
      <c r="G775" s="68" t="n"/>
      <c r="H775" s="68">
        <f>E775*G775</f>
        <v/>
      </c>
      <c r="I775" s="68">
        <f>F775*G775</f>
        <v/>
      </c>
      <c r="J775" s="68">
        <f>SUM(H775:I775)</f>
        <v/>
      </c>
      <c r="K775" s="43" t="n"/>
    </row>
    <row r="776" hidden="1" ht="29" customHeight="1">
      <c r="A776" s="35" t="n">
        <v>768</v>
      </c>
      <c r="B776" s="40" t="inlineStr">
        <is>
          <t>J-TC-IN</t>
        </is>
      </c>
      <c r="C776" s="36" t="inlineStr">
        <is>
          <t>TRAY CABLE MAKSIMAL 10 X 5CM DI SISI OFFICE SESUAI SPACE RUANGAN</t>
        </is>
      </c>
      <c r="D776" s="35" t="inlineStr">
        <is>
          <t>Mtr</t>
        </is>
      </c>
      <c r="E776" s="42" t="n">
        <v>0</v>
      </c>
      <c r="F776" s="37" t="n">
        <v>3960</v>
      </c>
      <c r="G776" s="68" t="n"/>
      <c r="H776" s="68">
        <f>E776*G776</f>
        <v/>
      </c>
      <c r="I776" s="68">
        <f>F776*G776</f>
        <v/>
      </c>
      <c r="J776" s="68">
        <f>SUM(H776:I776)</f>
        <v/>
      </c>
      <c r="K776" s="43" t="n"/>
    </row>
    <row r="777" hidden="1" ht="43.5" customHeight="1">
      <c r="A777" s="35" t="n">
        <v>769</v>
      </c>
      <c r="B777" s="35" t="inlineStr">
        <is>
          <t>HH-PIT-HA</t>
        </is>
      </c>
      <c r="C777" s="36" t="inlineStr">
        <is>
          <t>PEKERJAAN PEMBUATAN HH PIT HOME ACCESS LENGKAP DENGAN PENUTUP UKURAN DIMENSI DALAM (PXLXT = 40 X 40 X 40 CM) BERTULANG COR BETON 1:2:3 BESERTA AKSESORISNYA</t>
        </is>
      </c>
      <c r="D777" s="35" t="inlineStr">
        <is>
          <t>Unit</t>
        </is>
      </c>
      <c r="E777" s="37" t="n">
        <v>2750000</v>
      </c>
      <c r="F777" s="37" t="n">
        <v>341000</v>
      </c>
      <c r="G777" s="68" t="n"/>
      <c r="H777" s="68">
        <f>E777*G777</f>
        <v/>
      </c>
      <c r="I777" s="68">
        <f>F777*G777</f>
        <v/>
      </c>
      <c r="J777" s="68">
        <f>SUM(H777:I777)</f>
        <v/>
      </c>
      <c r="K777" s="43" t="n"/>
    </row>
    <row r="778" hidden="1" ht="43.5" customHeight="1">
      <c r="A778" s="35" t="n">
        <v>770</v>
      </c>
      <c r="B778" s="40" t="inlineStr">
        <is>
          <t>M-HH-PIT-HA</t>
        </is>
      </c>
      <c r="C778" s="36" t="inlineStr">
        <is>
          <t>PEKERJAAN PEMBUATAN HH PIT HOME ACCESS LENGKAP DENGAN PENUTUP UKURAN DIMENSI DALAM (PXLXT = 40 X 40 X 40 CM) BERTULANG COR BETON 1:2:3 BESERTA AKSESORISNYA</t>
        </is>
      </c>
      <c r="D778" s="35" t="inlineStr">
        <is>
          <t>Unit</t>
        </is>
      </c>
      <c r="E778" s="37" t="n">
        <v>2750000</v>
      </c>
      <c r="F778" s="42" t="n">
        <v>0</v>
      </c>
      <c r="G778" s="68" t="n"/>
      <c r="H778" s="68">
        <f>E778*G778</f>
        <v/>
      </c>
      <c r="I778" s="68">
        <f>F778*G778</f>
        <v/>
      </c>
      <c r="J778" s="68">
        <f>SUM(H778:I778)</f>
        <v/>
      </c>
      <c r="K778" s="43" t="n"/>
    </row>
    <row r="779" hidden="1" ht="43.5" customHeight="1">
      <c r="A779" s="35" t="n">
        <v>771</v>
      </c>
      <c r="B779" s="40" t="inlineStr">
        <is>
          <t>J-HH-PIT-HA</t>
        </is>
      </c>
      <c r="C779" s="36" t="inlineStr">
        <is>
          <t>PEKERJAAN PEMBUATAN HH PIT HOME ACCESS LENGKAP DENGAN PENUTUP UKURAN DIMENSI DALAM (PXLXT = 40 X 40 X 40 CM) BERTULANG COR BETON 1:2:3 BESERTA AKSESORISNYA</t>
        </is>
      </c>
      <c r="D779" s="35" t="inlineStr">
        <is>
          <t>Unit</t>
        </is>
      </c>
      <c r="E779" s="42" t="n">
        <v>0</v>
      </c>
      <c r="F779" s="37" t="n">
        <v>341000</v>
      </c>
      <c r="G779" s="68" t="n"/>
      <c r="H779" s="68">
        <f>E779*G779</f>
        <v/>
      </c>
      <c r="I779" s="68">
        <f>F779*G779</f>
        <v/>
      </c>
      <c r="J779" s="68">
        <f>SUM(H779:I779)</f>
        <v/>
      </c>
      <c r="K779" s="43" t="n"/>
    </row>
    <row r="780" hidden="1" ht="43.5" customHeight="1">
      <c r="A780" s="35" t="n">
        <v>772</v>
      </c>
      <c r="B780" s="35" t="inlineStr">
        <is>
          <t>HH-PIT-DP</t>
        </is>
      </c>
      <c r="C780" s="36" t="inlineStr">
        <is>
          <t>PEKERJAAN PEMBUATAN HH PIT DP LENGKAP DENGAN PENUTUP UKURAN DIMENSI DALAM (PXLXT = 60 X 40 X 60 CM) BERTULANG COR BETON 1:2:3 BESERTA AKSESORISNYA</t>
        </is>
      </c>
      <c r="D780" s="35" t="inlineStr">
        <is>
          <t>Unit</t>
        </is>
      </c>
      <c r="E780" s="37" t="n">
        <v>3300000</v>
      </c>
      <c r="F780" s="37" t="n">
        <v>385000</v>
      </c>
      <c r="G780" s="68" t="n"/>
      <c r="H780" s="68">
        <f>E780*G780</f>
        <v/>
      </c>
      <c r="I780" s="68">
        <f>F780*G780</f>
        <v/>
      </c>
      <c r="J780" s="68">
        <f>SUM(H780:I780)</f>
        <v/>
      </c>
      <c r="K780" s="43" t="n"/>
    </row>
    <row r="781" hidden="1" ht="43.5" customHeight="1">
      <c r="A781" s="35" t="n">
        <v>773</v>
      </c>
      <c r="B781" s="40" t="inlineStr">
        <is>
          <t>M-HH-PIT-DP</t>
        </is>
      </c>
      <c r="C781" s="36" t="inlineStr">
        <is>
          <t>PEKERJAAN PEMBUATAN HH PIT DP LENGKAP DENGAN PENUTUP UKURAN DIMENSI DALAM (PXLXT = 60 X 40 X 60 CM) BERTULANG COR BETON 1:2:3 BESERTA AKSESORISNYA</t>
        </is>
      </c>
      <c r="D781" s="35" t="inlineStr">
        <is>
          <t>Unit</t>
        </is>
      </c>
      <c r="E781" s="37" t="n">
        <v>3300000</v>
      </c>
      <c r="F781" s="42" t="n">
        <v>0</v>
      </c>
      <c r="G781" s="68" t="n"/>
      <c r="H781" s="68">
        <f>E781*G781</f>
        <v/>
      </c>
      <c r="I781" s="68">
        <f>F781*G781</f>
        <v/>
      </c>
      <c r="J781" s="68">
        <f>SUM(H781:I781)</f>
        <v/>
      </c>
      <c r="K781" s="43" t="n"/>
    </row>
    <row r="782" hidden="1" ht="43.5" customHeight="1">
      <c r="A782" s="35" t="n">
        <v>774</v>
      </c>
      <c r="B782" s="40" t="inlineStr">
        <is>
          <t>J-HH-PIT-DP</t>
        </is>
      </c>
      <c r="C782" s="36" t="inlineStr">
        <is>
          <t>PEKERJAAN PEMBUATAN HH PIT DP LENGKAP DENGAN PENUTUP UKURAN DIMENSI DALAM (PXLXT = 60 X 40 X 60 CM) BERTULANG COR BETON 1:2:3 BESERTA AKSESORISNYA</t>
        </is>
      </c>
      <c r="D782" s="35" t="inlineStr">
        <is>
          <t>Unit</t>
        </is>
      </c>
      <c r="E782" s="42" t="n">
        <v>0</v>
      </c>
      <c r="F782" s="37" t="n">
        <v>385000</v>
      </c>
      <c r="G782" s="68" t="n"/>
      <c r="H782" s="68">
        <f>E782*G782</f>
        <v/>
      </c>
      <c r="I782" s="68">
        <f>F782*G782</f>
        <v/>
      </c>
      <c r="J782" s="68">
        <f>SUM(H782:I782)</f>
        <v/>
      </c>
      <c r="K782" s="43" t="n"/>
    </row>
    <row r="783" hidden="1" ht="14.5" customHeight="1">
      <c r="A783" s="35" t="n">
        <v>775</v>
      </c>
      <c r="B783" s="35" t="inlineStr">
        <is>
          <t>TTP-MH</t>
        </is>
      </c>
      <c r="C783" s="36" t="inlineStr">
        <is>
          <t>PENGGANTIAN TUTUP MH (95cm x 95 cm) BETON</t>
        </is>
      </c>
      <c r="D783" s="35" t="inlineStr">
        <is>
          <t>Unit</t>
        </is>
      </c>
      <c r="E783" s="37" t="n">
        <v>1496000</v>
      </c>
      <c r="F783" s="37" t="n">
        <v>456500</v>
      </c>
      <c r="G783" s="68" t="n"/>
      <c r="H783" s="68">
        <f>E783*G783</f>
        <v/>
      </c>
      <c r="I783" s="68">
        <f>F783*G783</f>
        <v/>
      </c>
      <c r="J783" s="68">
        <f>SUM(H783:I783)</f>
        <v/>
      </c>
      <c r="K783" s="43" t="n"/>
    </row>
    <row r="784" hidden="1" ht="14.5" customHeight="1">
      <c r="A784" s="35" t="n">
        <v>776</v>
      </c>
      <c r="B784" s="40" t="inlineStr">
        <is>
          <t>M-TTP-MH</t>
        </is>
      </c>
      <c r="C784" s="36" t="inlineStr">
        <is>
          <t>PENGGANTIAN TUTUP MH (95cm x 95 cm) BETON</t>
        </is>
      </c>
      <c r="D784" s="35" t="inlineStr">
        <is>
          <t>Unit</t>
        </is>
      </c>
      <c r="E784" s="37" t="n">
        <v>1496000</v>
      </c>
      <c r="F784" s="42" t="n">
        <v>0</v>
      </c>
      <c r="G784" s="68" t="n"/>
      <c r="H784" s="68">
        <f>E784*G784</f>
        <v/>
      </c>
      <c r="I784" s="68">
        <f>F784*G784</f>
        <v/>
      </c>
      <c r="J784" s="68">
        <f>SUM(H784:I784)</f>
        <v/>
      </c>
      <c r="K784" s="43" t="n"/>
    </row>
    <row r="785" hidden="1" ht="14.5" customHeight="1">
      <c r="A785" s="35" t="n">
        <v>777</v>
      </c>
      <c r="B785" s="40" t="inlineStr">
        <is>
          <t>J-TTP-MH</t>
        </is>
      </c>
      <c r="C785" s="36" t="inlineStr">
        <is>
          <t>PENGGANTIAN TUTUP MH (95cm x 95 cm) BETON</t>
        </is>
      </c>
      <c r="D785" s="35" t="inlineStr">
        <is>
          <t>Unit</t>
        </is>
      </c>
      <c r="E785" s="42" t="n">
        <v>0</v>
      </c>
      <c r="F785" s="37" t="n">
        <v>456500</v>
      </c>
      <c r="G785" s="68" t="n"/>
      <c r="H785" s="68">
        <f>E785*G785</f>
        <v/>
      </c>
      <c r="I785" s="68">
        <f>F785*G785</f>
        <v/>
      </c>
      <c r="J785" s="68">
        <f>SUM(H785:I785)</f>
        <v/>
      </c>
      <c r="K785" s="43" t="n"/>
    </row>
    <row r="786" hidden="1" ht="14.5" customHeight="1">
      <c r="A786" s="35" t="n">
        <v>778</v>
      </c>
      <c r="B786" s="35" t="inlineStr">
        <is>
          <t>LHR-MH</t>
        </is>
      </c>
      <c r="C786" s="36" t="inlineStr">
        <is>
          <t>PENINGGIAN LEHER MH</t>
        </is>
      </c>
      <c r="D786" s="35" t="inlineStr">
        <is>
          <t>Unit</t>
        </is>
      </c>
      <c r="E786" s="37" t="n">
        <v>892840</v>
      </c>
      <c r="F786" s="37" t="n">
        <v>748000</v>
      </c>
      <c r="G786" s="68" t="n"/>
      <c r="H786" s="68">
        <f>E786*G786</f>
        <v/>
      </c>
      <c r="I786" s="68">
        <f>F786*G786</f>
        <v/>
      </c>
      <c r="J786" s="68">
        <f>SUM(H786:I786)</f>
        <v/>
      </c>
      <c r="K786" s="43" t="n"/>
    </row>
    <row r="787" hidden="1" ht="14.5" customHeight="1">
      <c r="A787" s="35" t="n">
        <v>779</v>
      </c>
      <c r="B787" s="40" t="inlineStr">
        <is>
          <t>M-LHR-MH</t>
        </is>
      </c>
      <c r="C787" s="36" t="inlineStr">
        <is>
          <t>PENINGGIAN LEHER MH</t>
        </is>
      </c>
      <c r="D787" s="35" t="inlineStr">
        <is>
          <t>Unit</t>
        </is>
      </c>
      <c r="E787" s="37" t="n">
        <v>892840</v>
      </c>
      <c r="F787" s="42" t="n">
        <v>0</v>
      </c>
      <c r="G787" s="68" t="n"/>
      <c r="H787" s="68">
        <f>E787*G787</f>
        <v/>
      </c>
      <c r="I787" s="68">
        <f>F787*G787</f>
        <v/>
      </c>
      <c r="J787" s="68">
        <f>SUM(H787:I787)</f>
        <v/>
      </c>
      <c r="K787" s="43" t="n"/>
    </row>
    <row r="788" hidden="1" ht="14.5" customHeight="1">
      <c r="A788" s="35" t="n">
        <v>780</v>
      </c>
      <c r="B788" s="40" t="inlineStr">
        <is>
          <t>J-LHR-MH</t>
        </is>
      </c>
      <c r="C788" s="36" t="inlineStr">
        <is>
          <t>PENINGGIAN LEHER MH</t>
        </is>
      </c>
      <c r="D788" s="35" t="inlineStr">
        <is>
          <t>Unit</t>
        </is>
      </c>
      <c r="E788" s="42" t="n">
        <v>0</v>
      </c>
      <c r="F788" s="37" t="n">
        <v>748000</v>
      </c>
      <c r="G788" s="68" t="n"/>
      <c r="H788" s="68">
        <f>E788*G788</f>
        <v/>
      </c>
      <c r="I788" s="68">
        <f>F788*G788</f>
        <v/>
      </c>
      <c r="J788" s="68">
        <f>SUM(H788:I788)</f>
        <v/>
      </c>
      <c r="K788" s="43" t="n"/>
    </row>
    <row r="789" hidden="1" ht="14.5" customHeight="1">
      <c r="A789" s="35" t="n">
        <v>781</v>
      </c>
      <c r="B789" s="35" t="inlineStr">
        <is>
          <t>GT-J-HH1-TTP3</t>
        </is>
      </c>
      <c r="C789" s="36" t="inlineStr">
        <is>
          <t>PENGGANTIAN TUTUP HH TYPE 1 TUTUP-3</t>
        </is>
      </c>
      <c r="D789" s="35" t="inlineStr">
        <is>
          <t>Unit</t>
        </is>
      </c>
      <c r="E789" s="37" t="n">
        <v>1947000</v>
      </c>
      <c r="F789" s="37" t="n">
        <v>456500</v>
      </c>
      <c r="G789" s="68" t="n"/>
      <c r="H789" s="68">
        <f>E789*G789</f>
        <v/>
      </c>
      <c r="I789" s="68">
        <f>F789*G789</f>
        <v/>
      </c>
      <c r="J789" s="68">
        <f>SUM(H789:I789)</f>
        <v/>
      </c>
      <c r="K789" s="43" t="n"/>
    </row>
    <row r="790" hidden="1" ht="14.5" customHeight="1">
      <c r="A790" s="35" t="n">
        <v>782</v>
      </c>
      <c r="B790" s="40" t="inlineStr">
        <is>
          <t>M-GT-J-HH1-TTP3</t>
        </is>
      </c>
      <c r="C790" s="36" t="inlineStr">
        <is>
          <t>PENGGANTIAN TUTUP HH TYPE 1 TUTUP-3</t>
        </is>
      </c>
      <c r="D790" s="35" t="inlineStr">
        <is>
          <t>Unit</t>
        </is>
      </c>
      <c r="E790" s="37" t="n">
        <v>1947000</v>
      </c>
      <c r="F790" s="42" t="n">
        <v>0</v>
      </c>
      <c r="G790" s="68" t="n"/>
      <c r="H790" s="68">
        <f>E790*G790</f>
        <v/>
      </c>
      <c r="I790" s="68">
        <f>F790*G790</f>
        <v/>
      </c>
      <c r="J790" s="68">
        <f>SUM(H790:I790)</f>
        <v/>
      </c>
      <c r="K790" s="43" t="n"/>
    </row>
    <row r="791" hidden="1" ht="14.5" customHeight="1">
      <c r="A791" s="35" t="n">
        <v>783</v>
      </c>
      <c r="B791" s="40" t="inlineStr">
        <is>
          <t>J-GT-J-HH1-TTP3</t>
        </is>
      </c>
      <c r="C791" s="36" t="inlineStr">
        <is>
          <t>PENGGANTIAN TUTUP HH TYPE 1 TUTUP-3</t>
        </is>
      </c>
      <c r="D791" s="35" t="inlineStr">
        <is>
          <t>Unit</t>
        </is>
      </c>
      <c r="E791" s="42" t="n">
        <v>0</v>
      </c>
      <c r="F791" s="37" t="n">
        <v>456500</v>
      </c>
      <c r="G791" s="68" t="n"/>
      <c r="H791" s="68">
        <f>E791*G791</f>
        <v/>
      </c>
      <c r="I791" s="68">
        <f>F791*G791</f>
        <v/>
      </c>
      <c r="J791" s="68">
        <f>SUM(H791:I791)</f>
        <v/>
      </c>
      <c r="K791" s="43" t="n"/>
    </row>
    <row r="792" hidden="1" ht="14.5" customHeight="1">
      <c r="A792" s="35" t="n">
        <v>784</v>
      </c>
      <c r="B792" s="35" t="inlineStr">
        <is>
          <t>GT-J-HH2-TTP2</t>
        </is>
      </c>
      <c r="C792" s="36" t="inlineStr">
        <is>
          <t>PENGGANTIAN TUTUP HH TYPE 2 TUTUP-2</t>
        </is>
      </c>
      <c r="D792" s="35" t="inlineStr">
        <is>
          <t>Unit</t>
        </is>
      </c>
      <c r="E792" s="37" t="n">
        <v>3047000</v>
      </c>
      <c r="F792" s="37" t="n">
        <v>456500</v>
      </c>
      <c r="G792" s="68" t="n"/>
      <c r="H792" s="68">
        <f>E792*G792</f>
        <v/>
      </c>
      <c r="I792" s="68">
        <f>F792*G792</f>
        <v/>
      </c>
      <c r="J792" s="68">
        <f>SUM(H792:I792)</f>
        <v/>
      </c>
      <c r="K792" s="43" t="n"/>
    </row>
    <row r="793" hidden="1" ht="14.5" customHeight="1">
      <c r="A793" s="35" t="n">
        <v>785</v>
      </c>
      <c r="B793" s="40" t="inlineStr">
        <is>
          <t>M-GT-J-HH2-TTP2</t>
        </is>
      </c>
      <c r="C793" s="36" t="inlineStr">
        <is>
          <t>PENGGANTIAN TUTUP HH TYPE 2 TUTUP-2</t>
        </is>
      </c>
      <c r="D793" s="35" t="inlineStr">
        <is>
          <t>Unit</t>
        </is>
      </c>
      <c r="E793" s="37" t="n">
        <v>3047000</v>
      </c>
      <c r="F793" s="42" t="n">
        <v>0</v>
      </c>
      <c r="G793" s="68" t="n"/>
      <c r="H793" s="68">
        <f>E793*G793</f>
        <v/>
      </c>
      <c r="I793" s="68">
        <f>F793*G793</f>
        <v/>
      </c>
      <c r="J793" s="68">
        <f>SUM(H793:I793)</f>
        <v/>
      </c>
      <c r="K793" s="43" t="n"/>
    </row>
    <row r="794" hidden="1" ht="14.5" customHeight="1">
      <c r="A794" s="35" t="n">
        <v>786</v>
      </c>
      <c r="B794" s="40" t="inlineStr">
        <is>
          <t>J-GT-J-HH2-TTP2</t>
        </is>
      </c>
      <c r="C794" s="36" t="inlineStr">
        <is>
          <t>PENGGANTIAN TUTUP HH TYPE 2 TUTUP-2</t>
        </is>
      </c>
      <c r="D794" s="35" t="inlineStr">
        <is>
          <t>Unit</t>
        </is>
      </c>
      <c r="E794" s="42" t="n">
        <v>0</v>
      </c>
      <c r="F794" s="37" t="n">
        <v>456500</v>
      </c>
      <c r="G794" s="68" t="n"/>
      <c r="H794" s="68">
        <f>E794*G794</f>
        <v/>
      </c>
      <c r="I794" s="68">
        <f>F794*G794</f>
        <v/>
      </c>
      <c r="J794" s="68">
        <f>SUM(H794:I794)</f>
        <v/>
      </c>
      <c r="K794" s="43" t="n"/>
    </row>
    <row r="795" hidden="1" ht="14.5" customHeight="1">
      <c r="A795" s="35" t="n">
        <v>787</v>
      </c>
      <c r="B795" s="35" t="inlineStr">
        <is>
          <t>NE-KEY</t>
        </is>
      </c>
      <c r="C795" s="36" t="inlineStr">
        <is>
          <t>PENGGANTIAN KUNCI NODE UKURAN 70MM</t>
        </is>
      </c>
      <c r="D795" s="35" t="inlineStr">
        <is>
          <t>Node</t>
        </is>
      </c>
      <c r="E795" s="37" t="n">
        <v>391510</v>
      </c>
      <c r="F795" s="37" t="n">
        <v>23690</v>
      </c>
      <c r="G795" s="68" t="n"/>
      <c r="H795" s="68">
        <f>E795*G795</f>
        <v/>
      </c>
      <c r="I795" s="68">
        <f>F795*G795</f>
        <v/>
      </c>
      <c r="J795" s="68">
        <f>SUM(H795:I795)</f>
        <v/>
      </c>
      <c r="K795" s="43" t="n"/>
    </row>
    <row r="796" hidden="1" ht="14.5" customHeight="1">
      <c r="A796" s="35" t="n">
        <v>788</v>
      </c>
      <c r="B796" s="40" t="inlineStr">
        <is>
          <t>M-NE-KEY</t>
        </is>
      </c>
      <c r="C796" s="36" t="inlineStr">
        <is>
          <t>PENGGANTIAN KUNCI NODE UKURAN 70MM</t>
        </is>
      </c>
      <c r="D796" s="35" t="inlineStr">
        <is>
          <t>Node</t>
        </is>
      </c>
      <c r="E796" s="37" t="n">
        <v>391510</v>
      </c>
      <c r="F796" s="42" t="n">
        <v>0</v>
      </c>
      <c r="G796" s="68" t="n"/>
      <c r="H796" s="68">
        <f>E796*G796</f>
        <v/>
      </c>
      <c r="I796" s="68">
        <f>F796*G796</f>
        <v/>
      </c>
      <c r="J796" s="68">
        <f>SUM(H796:I796)</f>
        <v/>
      </c>
      <c r="K796" s="43" t="n"/>
    </row>
    <row r="797" hidden="1" ht="14.5" customHeight="1">
      <c r="A797" s="35" t="n">
        <v>789</v>
      </c>
      <c r="B797" s="40" t="inlineStr">
        <is>
          <t>J-NE-KEY</t>
        </is>
      </c>
      <c r="C797" s="36" t="inlineStr">
        <is>
          <t>PENGGANTIAN KUNCI NODE UKURAN 70MM</t>
        </is>
      </c>
      <c r="D797" s="35" t="inlineStr">
        <is>
          <t>Node</t>
        </is>
      </c>
      <c r="E797" s="42" t="n">
        <v>0</v>
      </c>
      <c r="F797" s="37" t="n">
        <v>23690</v>
      </c>
      <c r="G797" s="68" t="n"/>
      <c r="H797" s="68">
        <f>E797*G797</f>
        <v/>
      </c>
      <c r="I797" s="68">
        <f>F797*G797</f>
        <v/>
      </c>
      <c r="J797" s="68">
        <f>SUM(H797:I797)</f>
        <v/>
      </c>
      <c r="K797" s="43" t="n"/>
    </row>
    <row r="798" hidden="1" ht="14.5" customHeight="1">
      <c r="A798" s="35" t="n">
        <v>790</v>
      </c>
      <c r="B798" s="35" t="inlineStr">
        <is>
          <t>ODC-BELT</t>
        </is>
      </c>
      <c r="C798" s="36" t="inlineStr">
        <is>
          <t>PEMASANGAN SABUK (70MM X 3MM)</t>
        </is>
      </c>
      <c r="D798" s="35" t="inlineStr">
        <is>
          <t>Node</t>
        </is>
      </c>
      <c r="E798" s="37" t="n">
        <v>279650</v>
      </c>
      <c r="F798" s="37" t="n">
        <v>23690</v>
      </c>
      <c r="G798" s="68" t="n"/>
      <c r="H798" s="68">
        <f>E798*G798</f>
        <v/>
      </c>
      <c r="I798" s="68">
        <f>F798*G798</f>
        <v/>
      </c>
      <c r="J798" s="68">
        <f>SUM(H798:I798)</f>
        <v/>
      </c>
      <c r="K798" s="43" t="n"/>
    </row>
    <row r="799" hidden="1" ht="14.5" customHeight="1">
      <c r="A799" s="35" t="n">
        <v>791</v>
      </c>
      <c r="B799" s="40" t="inlineStr">
        <is>
          <t>M-ODC-BELT</t>
        </is>
      </c>
      <c r="C799" s="36" t="inlineStr">
        <is>
          <t>PEMASANGAN SABUK (70MM X 3MM)</t>
        </is>
      </c>
      <c r="D799" s="35" t="inlineStr">
        <is>
          <t>Node</t>
        </is>
      </c>
      <c r="E799" s="37" t="n">
        <v>279650</v>
      </c>
      <c r="F799" s="42" t="n">
        <v>0</v>
      </c>
      <c r="G799" s="68" t="n"/>
      <c r="H799" s="68">
        <f>E799*G799</f>
        <v/>
      </c>
      <c r="I799" s="68">
        <f>F799*G799</f>
        <v/>
      </c>
      <c r="J799" s="68">
        <f>SUM(H799:I799)</f>
        <v/>
      </c>
      <c r="K799" s="43" t="n"/>
    </row>
    <row r="800" hidden="1" ht="14.5" customHeight="1">
      <c r="A800" s="35" t="n">
        <v>792</v>
      </c>
      <c r="B800" s="40" t="inlineStr">
        <is>
          <t>J-ODC-BELT</t>
        </is>
      </c>
      <c r="C800" s="36" t="inlineStr">
        <is>
          <t>PEMASANGAN SABUK (70MM X 3MM)</t>
        </is>
      </c>
      <c r="D800" s="35" t="inlineStr">
        <is>
          <t>Node</t>
        </is>
      </c>
      <c r="E800" s="42" t="n">
        <v>0</v>
      </c>
      <c r="F800" s="37" t="n">
        <v>23690</v>
      </c>
      <c r="G800" s="68" t="n"/>
      <c r="H800" s="68">
        <f>E800*G800</f>
        <v/>
      </c>
      <c r="I800" s="68">
        <f>F800*G800</f>
        <v/>
      </c>
      <c r="J800" s="68">
        <f>SUM(H800:I800)</f>
        <v/>
      </c>
      <c r="K800" s="43" t="n"/>
    </row>
    <row r="801" hidden="1" ht="14.5" customHeight="1">
      <c r="A801" s="35" t="n">
        <v>793</v>
      </c>
      <c r="B801" s="35" t="inlineStr">
        <is>
          <t>ODC-CATKABIJ-NET</t>
        </is>
      </c>
      <c r="C801" s="36" t="inlineStr">
        <is>
          <t>PENGECATAN ULANG KABINET ATAU ODC DAN LABELING</t>
        </is>
      </c>
      <c r="D801" s="35" t="inlineStr">
        <is>
          <t>m2</t>
        </is>
      </c>
      <c r="E801" s="37" t="n">
        <v>330000</v>
      </c>
      <c r="F801" s="37" t="n">
        <v>30250</v>
      </c>
      <c r="G801" s="68" t="n"/>
      <c r="H801" s="68">
        <f>E801*G801</f>
        <v/>
      </c>
      <c r="I801" s="68">
        <f>F801*G801</f>
        <v/>
      </c>
      <c r="J801" s="68">
        <f>SUM(H801:I801)</f>
        <v/>
      </c>
      <c r="K801" s="43" t="n"/>
    </row>
    <row r="802" hidden="1" ht="14.5" customHeight="1">
      <c r="A802" s="35" t="n">
        <v>794</v>
      </c>
      <c r="B802" s="40" t="inlineStr">
        <is>
          <t>M-ODC-CATKABIJ-NET</t>
        </is>
      </c>
      <c r="C802" s="36" t="inlineStr">
        <is>
          <t>PENGECATAN ULANG KABINET ATAU ODC DAN LABELING</t>
        </is>
      </c>
      <c r="D802" s="35" t="inlineStr">
        <is>
          <t>m2</t>
        </is>
      </c>
      <c r="E802" s="37" t="n">
        <v>330000</v>
      </c>
      <c r="F802" s="42" t="n">
        <v>0</v>
      </c>
      <c r="G802" s="68" t="n"/>
      <c r="H802" s="68">
        <f>E802*G802</f>
        <v/>
      </c>
      <c r="I802" s="68">
        <f>F802*G802</f>
        <v/>
      </c>
      <c r="J802" s="68">
        <f>SUM(H802:I802)</f>
        <v/>
      </c>
      <c r="K802" s="43" t="n"/>
    </row>
    <row r="803" hidden="1" ht="14.5" customHeight="1">
      <c r="A803" s="35" t="n">
        <v>795</v>
      </c>
      <c r="B803" s="40" t="inlineStr">
        <is>
          <t>J-ODC-CATKABIJ-NET</t>
        </is>
      </c>
      <c r="C803" s="36" t="inlineStr">
        <is>
          <t>PENGECATAN ULANG KABINET ATAU ODC DAN LABELING</t>
        </is>
      </c>
      <c r="D803" s="35" t="inlineStr">
        <is>
          <t>m2</t>
        </is>
      </c>
      <c r="E803" s="42" t="n">
        <v>0</v>
      </c>
      <c r="F803" s="37" t="n">
        <v>30250</v>
      </c>
      <c r="G803" s="68" t="n"/>
      <c r="H803" s="68">
        <f>E803*G803</f>
        <v/>
      </c>
      <c r="I803" s="68">
        <f>F803*G803</f>
        <v/>
      </c>
      <c r="J803" s="68">
        <f>SUM(H803:I803)</f>
        <v/>
      </c>
      <c r="K803" s="43" t="n"/>
    </row>
    <row r="804" hidden="1" ht="14.5" customHeight="1">
      <c r="A804" s="35" t="n">
        <v>796</v>
      </c>
      <c r="B804" s="35" t="inlineStr">
        <is>
          <t>ODC-CATDDKKAB</t>
        </is>
      </c>
      <c r="C804" s="36" t="inlineStr">
        <is>
          <t>PENGECATAN DUDUKAN KABINET</t>
        </is>
      </c>
      <c r="D804" s="35" t="inlineStr">
        <is>
          <t>m2</t>
        </is>
      </c>
      <c r="E804" s="37" t="n">
        <v>84700</v>
      </c>
      <c r="F804" s="37" t="n">
        <v>30250</v>
      </c>
      <c r="G804" s="68" t="n"/>
      <c r="H804" s="68">
        <f>E804*G804</f>
        <v/>
      </c>
      <c r="I804" s="68">
        <f>F804*G804</f>
        <v/>
      </c>
      <c r="J804" s="68">
        <f>SUM(H804:I804)</f>
        <v/>
      </c>
      <c r="K804" s="43" t="n"/>
    </row>
    <row r="805" hidden="1" ht="14.5" customHeight="1">
      <c r="A805" s="35" t="n">
        <v>797</v>
      </c>
      <c r="B805" s="40" t="inlineStr">
        <is>
          <t>M-ODC-CATDDKKAB</t>
        </is>
      </c>
      <c r="C805" s="36" t="inlineStr">
        <is>
          <t>PENGECATAN DUDUKAN KABINET</t>
        </is>
      </c>
      <c r="D805" s="35" t="inlineStr">
        <is>
          <t>m2</t>
        </is>
      </c>
      <c r="E805" s="37" t="n">
        <v>84700</v>
      </c>
      <c r="F805" s="42" t="n">
        <v>0</v>
      </c>
      <c r="G805" s="68" t="n"/>
      <c r="H805" s="68">
        <f>E805*G805</f>
        <v/>
      </c>
      <c r="I805" s="68">
        <f>F805*G805</f>
        <v/>
      </c>
      <c r="J805" s="68">
        <f>SUM(H805:I805)</f>
        <v/>
      </c>
      <c r="K805" s="43" t="n"/>
    </row>
    <row r="806" hidden="1" ht="14.5" customHeight="1">
      <c r="A806" s="35" t="n">
        <v>798</v>
      </c>
      <c r="B806" s="40" t="inlineStr">
        <is>
          <t>J-ODC-CATDDKKAB</t>
        </is>
      </c>
      <c r="C806" s="36" t="inlineStr">
        <is>
          <t>PENGECATAN DUDUKAN KABINET</t>
        </is>
      </c>
      <c r="D806" s="35" t="inlineStr">
        <is>
          <t>m2</t>
        </is>
      </c>
      <c r="E806" s="42" t="n">
        <v>0</v>
      </c>
      <c r="F806" s="37" t="n">
        <v>30250</v>
      </c>
      <c r="G806" s="68" t="n"/>
      <c r="H806" s="68">
        <f>E806*G806</f>
        <v/>
      </c>
      <c r="I806" s="68">
        <f>F806*G806</f>
        <v/>
      </c>
      <c r="J806" s="68">
        <f>SUM(H806:I806)</f>
        <v/>
      </c>
      <c r="K806" s="43" t="n"/>
    </row>
    <row r="807" hidden="1" ht="43.5" customHeight="1">
      <c r="A807" s="35" t="n">
        <v>799</v>
      </c>
      <c r="B807" s="35" t="inlineStr">
        <is>
          <t>ODC-P-3-IN</t>
        </is>
      </c>
      <c r="C807" s="36" t="inlineStr">
        <is>
          <t>PENGADAAN DAN PEMASANGAN RISER PIPE UNTUK PENGAMAN KABEL OPTIK KE ODC POLE / TITIK NAIK KU DIAMATER 3 INCH PANJANG 3 METER</t>
        </is>
      </c>
      <c r="D807" s="35" t="inlineStr">
        <is>
          <t>Unit</t>
        </is>
      </c>
      <c r="E807" s="37" t="n">
        <v>143000</v>
      </c>
      <c r="F807" s="37" t="n">
        <v>63800</v>
      </c>
      <c r="G807" s="68" t="n"/>
      <c r="H807" s="68">
        <f>E807*G807</f>
        <v/>
      </c>
      <c r="I807" s="68">
        <f>F807*G807</f>
        <v/>
      </c>
      <c r="J807" s="68">
        <f>SUM(H807:I807)</f>
        <v/>
      </c>
      <c r="K807" s="43" t="n"/>
    </row>
    <row r="808" hidden="1" ht="43.5" customHeight="1">
      <c r="A808" s="35" t="n">
        <v>800</v>
      </c>
      <c r="B808" s="40" t="inlineStr">
        <is>
          <t>M-ODC-P-3-IN</t>
        </is>
      </c>
      <c r="C808" s="36" t="inlineStr">
        <is>
          <t>PENGADAAN DAN PEMASANGAN RISER PIPE UNTUK PENGAMAN KABEL OPTIK KE ODC POLE / TITIK NAIK KU DIAMATER 3 INCH PANJANG 3 METER</t>
        </is>
      </c>
      <c r="D808" s="35" t="inlineStr">
        <is>
          <t>Unit</t>
        </is>
      </c>
      <c r="E808" s="37" t="n">
        <v>143000</v>
      </c>
      <c r="F808" s="42" t="n">
        <v>0</v>
      </c>
      <c r="G808" s="68" t="n"/>
      <c r="H808" s="68">
        <f>E808*G808</f>
        <v/>
      </c>
      <c r="I808" s="68">
        <f>F808*G808</f>
        <v/>
      </c>
      <c r="J808" s="68">
        <f>SUM(H808:I808)</f>
        <v/>
      </c>
      <c r="K808" s="43" t="n"/>
    </row>
    <row r="809" hidden="1" ht="43.5" customHeight="1">
      <c r="A809" s="35" t="n">
        <v>801</v>
      </c>
      <c r="B809" s="40" t="inlineStr">
        <is>
          <t>J-ODC-P-3-IN</t>
        </is>
      </c>
      <c r="C809" s="36" t="inlineStr">
        <is>
          <t>PENGADAAN DAN PEMASANGAN RISER PIPE UNTUK PENGAMAN KABEL OPTIK KE ODC POLE / TITIK NAIK KU DIAMATER 3 INCH PANJANG 3 METER</t>
        </is>
      </c>
      <c r="D809" s="35" t="inlineStr">
        <is>
          <t>Unit</t>
        </is>
      </c>
      <c r="E809" s="42" t="n">
        <v>0</v>
      </c>
      <c r="F809" s="37" t="n">
        <v>63800</v>
      </c>
      <c r="G809" s="68" t="n"/>
      <c r="H809" s="68">
        <f>E809*G809</f>
        <v/>
      </c>
      <c r="I809" s="68">
        <f>F809*G809</f>
        <v/>
      </c>
      <c r="J809" s="68">
        <f>SUM(H809:I809)</f>
        <v/>
      </c>
      <c r="K809" s="43" t="n"/>
    </row>
    <row r="810" hidden="1" ht="43.5" customHeight="1">
      <c r="A810" s="35" t="n">
        <v>802</v>
      </c>
      <c r="B810" s="35" t="inlineStr">
        <is>
          <t>ODC-P-4-IN</t>
        </is>
      </c>
      <c r="C810" s="36" t="inlineStr">
        <is>
          <t>PENGADAAN DAN PEMASANGAN RISER PIPE UNTUK PENGAMAN KABEL OPTIK KE ODC POLE / TITIK NAIK KU DIAMATER 4 INCH PANJANG 3 METER</t>
        </is>
      </c>
      <c r="D810" s="35" t="inlineStr">
        <is>
          <t>Unit</t>
        </is>
      </c>
      <c r="E810" s="37" t="n">
        <v>220000</v>
      </c>
      <c r="F810" s="37" t="n">
        <v>63800</v>
      </c>
      <c r="G810" s="68" t="n"/>
      <c r="H810" s="68">
        <f>E810*G810</f>
        <v/>
      </c>
      <c r="I810" s="68">
        <f>F810*G810</f>
        <v/>
      </c>
      <c r="J810" s="68">
        <f>SUM(H810:I810)</f>
        <v/>
      </c>
      <c r="K810" s="43" t="n"/>
    </row>
    <row r="811" hidden="1" ht="43.5" customHeight="1">
      <c r="A811" s="35" t="n">
        <v>803</v>
      </c>
      <c r="B811" s="40" t="inlineStr">
        <is>
          <t>M-ODC-P-4-IN</t>
        </is>
      </c>
      <c r="C811" s="36" t="inlineStr">
        <is>
          <t>PENGADAAN DAN PEMASANGAN RISER PIPE UNTUK PENGAMAN KABEL OPTIK KE ODC POLE / TITIK NAIK KU DIAMATER 4 INCH PANJANG 3 METER</t>
        </is>
      </c>
      <c r="D811" s="35" t="inlineStr">
        <is>
          <t>Unit</t>
        </is>
      </c>
      <c r="E811" s="37" t="n">
        <v>220000</v>
      </c>
      <c r="F811" s="42" t="n">
        <v>0</v>
      </c>
      <c r="G811" s="68" t="n"/>
      <c r="H811" s="68">
        <f>E811*G811</f>
        <v/>
      </c>
      <c r="I811" s="68">
        <f>F811*G811</f>
        <v/>
      </c>
      <c r="J811" s="68">
        <f>SUM(H811:I811)</f>
        <v/>
      </c>
      <c r="K811" s="43" t="n"/>
    </row>
    <row r="812" hidden="1" ht="43.5" customHeight="1">
      <c r="A812" s="35" t="n">
        <v>804</v>
      </c>
      <c r="B812" s="40" t="inlineStr">
        <is>
          <t>J-ODC-P-4-IN</t>
        </is>
      </c>
      <c r="C812" s="36" t="inlineStr">
        <is>
          <t>PENGADAAN DAN PEMASANGAN RISER PIPE UNTUK PENGAMAN KABEL OPTIK KE ODC POLE / TITIK NAIK KU DIAMATER 4 INCH PANJANG 3 METER</t>
        </is>
      </c>
      <c r="D812" s="35" t="inlineStr">
        <is>
          <t>Unit</t>
        </is>
      </c>
      <c r="E812" s="42" t="n">
        <v>0</v>
      </c>
      <c r="F812" s="37" t="n">
        <v>63800</v>
      </c>
      <c r="G812" s="68" t="n"/>
      <c r="H812" s="68">
        <f>E812*G812</f>
        <v/>
      </c>
      <c r="I812" s="68">
        <f>F812*G812</f>
        <v/>
      </c>
      <c r="J812" s="68">
        <f>SUM(H812:I812)</f>
        <v/>
      </c>
      <c r="K812" s="43" t="n"/>
    </row>
    <row r="813" hidden="1" ht="29" customHeight="1">
      <c r="A813" s="35" t="n">
        <v>805</v>
      </c>
      <c r="B813" s="35" t="inlineStr">
        <is>
          <t>ODC-ODP-ADAPT-STDR</t>
        </is>
      </c>
      <c r="C813" s="36" t="inlineStr">
        <is>
          <t>PENGADAAN/PENGGANTIAN ADAPTER SC PADA ODC DAN ODP BAHAN PLASTIK</t>
        </is>
      </c>
      <c r="D813" s="35" t="inlineStr">
        <is>
          <t>pcs</t>
        </is>
      </c>
      <c r="E813" s="37" t="n">
        <v>6050</v>
      </c>
      <c r="F813" s="37" t="n">
        <v>1360</v>
      </c>
      <c r="G813" s="68" t="n"/>
      <c r="H813" s="68">
        <f>E813*G813</f>
        <v/>
      </c>
      <c r="I813" s="68">
        <f>F813*G813</f>
        <v/>
      </c>
      <c r="J813" s="68">
        <f>SUM(H813:I813)</f>
        <v/>
      </c>
      <c r="K813" s="43" t="n"/>
    </row>
    <row r="814" hidden="1" ht="29" customHeight="1">
      <c r="A814" s="35" t="n">
        <v>806</v>
      </c>
      <c r="B814" s="40" t="inlineStr">
        <is>
          <t>M-ODC-ODP-ADAPT-STDR</t>
        </is>
      </c>
      <c r="C814" s="36" t="inlineStr">
        <is>
          <t>PENGADAAN/PENGGANTIAN ADAPTER SC PADA ODC DAN ODP BAHAN PLASTIK</t>
        </is>
      </c>
      <c r="D814" s="35" t="inlineStr">
        <is>
          <t>pcs</t>
        </is>
      </c>
      <c r="E814" s="37" t="n">
        <v>6050</v>
      </c>
      <c r="F814" s="42" t="n">
        <v>0</v>
      </c>
      <c r="G814" s="68" t="n"/>
      <c r="H814" s="68">
        <f>E814*G814</f>
        <v/>
      </c>
      <c r="I814" s="68">
        <f>F814*G814</f>
        <v/>
      </c>
      <c r="J814" s="68">
        <f>SUM(H814:I814)</f>
        <v/>
      </c>
      <c r="K814" s="43" t="n"/>
    </row>
    <row r="815" hidden="1" ht="29" customHeight="1">
      <c r="A815" s="35" t="n">
        <v>807</v>
      </c>
      <c r="B815" s="40" t="inlineStr">
        <is>
          <t>J-ODC-ODP-ADAPT-STDR</t>
        </is>
      </c>
      <c r="C815" s="36" t="inlineStr">
        <is>
          <t>PENGADAAN/PENGGANTIAN ADAPTER SC PADA ODC DAN ODP BAHAN PLASTIK</t>
        </is>
      </c>
      <c r="D815" s="35" t="inlineStr">
        <is>
          <t>pcs</t>
        </is>
      </c>
      <c r="E815" s="42" t="n">
        <v>0</v>
      </c>
      <c r="F815" s="37" t="n">
        <v>1360</v>
      </c>
      <c r="G815" s="68" t="n"/>
      <c r="H815" s="68">
        <f>E815*G815</f>
        <v/>
      </c>
      <c r="I815" s="68">
        <f>F815*G815</f>
        <v/>
      </c>
      <c r="J815" s="68">
        <f>SUM(H815:I815)</f>
        <v/>
      </c>
      <c r="K815" s="43" t="n"/>
    </row>
    <row r="816" hidden="1" ht="14.5" customHeight="1">
      <c r="A816" s="35" t="n">
        <v>808</v>
      </c>
      <c r="B816" s="35" t="inlineStr">
        <is>
          <t>ODP-KEY</t>
        </is>
      </c>
      <c r="C816" s="36" t="inlineStr">
        <is>
          <t>PENGGANTIAN KUNCI ODP</t>
        </is>
      </c>
      <c r="D816" s="35" t="inlineStr">
        <is>
          <t>Bh</t>
        </is>
      </c>
      <c r="E816" s="37" t="n">
        <v>27960</v>
      </c>
      <c r="F816" s="37" t="n">
        <v>11370</v>
      </c>
      <c r="G816" s="68" t="n"/>
      <c r="H816" s="68">
        <f>E816*G816</f>
        <v/>
      </c>
      <c r="I816" s="68">
        <f>F816*G816</f>
        <v/>
      </c>
      <c r="J816" s="68">
        <f>SUM(H816:I816)</f>
        <v/>
      </c>
      <c r="K816" s="43" t="n"/>
    </row>
    <row r="817" hidden="1" ht="14.5" customHeight="1">
      <c r="A817" s="35" t="n">
        <v>809</v>
      </c>
      <c r="B817" s="40" t="inlineStr">
        <is>
          <t>M-ODP-KEY</t>
        </is>
      </c>
      <c r="C817" s="36" t="inlineStr">
        <is>
          <t>PENGGANTIAN KUNCI ODP</t>
        </is>
      </c>
      <c r="D817" s="35" t="inlineStr">
        <is>
          <t>Bh</t>
        </is>
      </c>
      <c r="E817" s="37" t="n">
        <v>27960</v>
      </c>
      <c r="F817" s="42" t="n">
        <v>0</v>
      </c>
      <c r="G817" s="68" t="n"/>
      <c r="H817" s="68">
        <f>E817*G817</f>
        <v/>
      </c>
      <c r="I817" s="68">
        <f>F817*G817</f>
        <v/>
      </c>
      <c r="J817" s="68">
        <f>SUM(H817:I817)</f>
        <v/>
      </c>
      <c r="K817" s="43" t="n"/>
    </row>
    <row r="818" hidden="1" ht="14.5" customHeight="1">
      <c r="A818" s="35" t="n">
        <v>810</v>
      </c>
      <c r="B818" s="40" t="inlineStr">
        <is>
          <t>J-ODP-KEY</t>
        </is>
      </c>
      <c r="C818" s="36" t="inlineStr">
        <is>
          <t>PENGGANTIAN KUNCI ODP</t>
        </is>
      </c>
      <c r="D818" s="35" t="inlineStr">
        <is>
          <t>Bh</t>
        </is>
      </c>
      <c r="E818" s="42" t="n">
        <v>0</v>
      </c>
      <c r="F818" s="37" t="n">
        <v>11370</v>
      </c>
      <c r="G818" s="68" t="n"/>
      <c r="H818" s="68">
        <f>E818*G818</f>
        <v/>
      </c>
      <c r="I818" s="68">
        <f>F818*G818</f>
        <v/>
      </c>
      <c r="J818" s="68">
        <f>SUM(H818:I818)</f>
        <v/>
      </c>
      <c r="K818" s="43" t="n"/>
    </row>
    <row r="819" hidden="1" ht="14.5" customHeight="1">
      <c r="A819" s="35" t="n">
        <v>811</v>
      </c>
      <c r="B819" s="35" t="inlineStr">
        <is>
          <t>ODP-SBK</t>
        </is>
      </c>
      <c r="C819" s="36" t="inlineStr">
        <is>
          <t>PENGADAAN DAN PEMASANGAN SABUK ODP</t>
        </is>
      </c>
      <c r="D819" s="35" t="inlineStr">
        <is>
          <t>Bh</t>
        </is>
      </c>
      <c r="E819" s="37" t="n">
        <v>19800</v>
      </c>
      <c r="F819" s="37" t="n">
        <v>13200</v>
      </c>
      <c r="G819" s="68" t="n"/>
      <c r="H819" s="68">
        <f>E819*G819</f>
        <v/>
      </c>
      <c r="I819" s="68">
        <f>F819*G819</f>
        <v/>
      </c>
      <c r="J819" s="68">
        <f>SUM(H819:I819)</f>
        <v/>
      </c>
      <c r="K819" s="43" t="n"/>
    </row>
    <row r="820" hidden="1" ht="14.5" customHeight="1">
      <c r="A820" s="35" t="n">
        <v>812</v>
      </c>
      <c r="B820" s="40" t="inlineStr">
        <is>
          <t>M-ODP-SBK</t>
        </is>
      </c>
      <c r="C820" s="36" t="inlineStr">
        <is>
          <t>PENGADAAN DAN PEMASANGAN SABUK ODP</t>
        </is>
      </c>
      <c r="D820" s="35" t="inlineStr">
        <is>
          <t>Bh</t>
        </is>
      </c>
      <c r="E820" s="37" t="n">
        <v>19800</v>
      </c>
      <c r="F820" s="42" t="n">
        <v>0</v>
      </c>
      <c r="G820" s="68" t="n"/>
      <c r="H820" s="68">
        <f>E820*G820</f>
        <v/>
      </c>
      <c r="I820" s="68">
        <f>F820*G820</f>
        <v/>
      </c>
      <c r="J820" s="68">
        <f>SUM(H820:I820)</f>
        <v/>
      </c>
      <c r="K820" s="43" t="n"/>
    </row>
    <row r="821" hidden="1" ht="14.5" customHeight="1">
      <c r="A821" s="35" t="n">
        <v>813</v>
      </c>
      <c r="B821" s="40" t="inlineStr">
        <is>
          <t>J-ODP-SBK</t>
        </is>
      </c>
      <c r="C821" s="36" t="inlineStr">
        <is>
          <t>PENGADAAN DAN PEMASANGAN SABUK ODP</t>
        </is>
      </c>
      <c r="D821" s="35" t="inlineStr">
        <is>
          <t>Bh</t>
        </is>
      </c>
      <c r="E821" s="42" t="n">
        <v>0</v>
      </c>
      <c r="F821" s="37" t="n">
        <v>13200</v>
      </c>
      <c r="G821" s="68" t="n"/>
      <c r="H821" s="68">
        <f>E821*G821</f>
        <v/>
      </c>
      <c r="I821" s="68">
        <f>F821*G821</f>
        <v/>
      </c>
      <c r="J821" s="68">
        <f>SUM(H821:I821)</f>
        <v/>
      </c>
      <c r="K821" s="43" t="n"/>
    </row>
    <row r="822" hidden="1" ht="72.5" customHeight="1">
      <c r="A822" s="35" t="n">
        <v>814</v>
      </c>
      <c r="B822" s="35" t="inlineStr">
        <is>
          <t>ODP-SOLID-PB-8</t>
        </is>
      </c>
      <c r="C822" s="36" t="inlineStr">
        <is>
          <t>PENGADAAN DAN PEMASANGAN ODP TYPE SOLID KAP 8 CORE ADAPTOR SC/UPC TERDIRI DARI 1 BOX SPLITER (TERMASUK 1 SPLITER 1:8), 1 BOX DUMMY BESERTA ACCESSORIES, BERIKUT PELABELAN DAN PENEMPELAN QR CODE (DISEDIAKAN OLEH TELKOM)</t>
        </is>
      </c>
      <c r="D822" s="35" t="inlineStr">
        <is>
          <t>Bh</t>
        </is>
      </c>
      <c r="E822" s="37" t="n">
        <v>647059</v>
      </c>
      <c r="F822" s="37" t="n">
        <v>156514</v>
      </c>
      <c r="G822" s="68" t="n"/>
      <c r="H822" s="68">
        <f>E822*G822</f>
        <v/>
      </c>
      <c r="I822" s="68">
        <f>F822*G822</f>
        <v/>
      </c>
      <c r="J822" s="68">
        <f>SUM(H822:I822)</f>
        <v/>
      </c>
      <c r="K822" s="43" t="n"/>
    </row>
    <row r="823" hidden="1" ht="72.5" customHeight="1">
      <c r="A823" s="35" t="n">
        <v>815</v>
      </c>
      <c r="B823" s="40" t="inlineStr">
        <is>
          <t>M-ODP-SOLID-PB-8</t>
        </is>
      </c>
      <c r="C823" s="36" t="inlineStr">
        <is>
          <t>PENGADAAN DAN PEMASANGAN ODP TYPE SOLID KAP 8 CORE ADAPTOR SC/UPC TERDIRI DARI 1 BOX SPLITER (TERMASUK 1 SPLITER 1:8), 1 BOX DUMMY BESERTA ACCESSORIES, BERIKUT PELABELAN DAN PENEMPELAN QR CODE (DISEDIAKAN OLEH TELKOM)</t>
        </is>
      </c>
      <c r="D823" s="35" t="inlineStr">
        <is>
          <t>Bh</t>
        </is>
      </c>
      <c r="E823" s="37" t="n">
        <v>647059</v>
      </c>
      <c r="F823" s="42" t="n">
        <v>0</v>
      </c>
      <c r="G823" s="68" t="n"/>
      <c r="H823" s="68">
        <f>E823*G823</f>
        <v/>
      </c>
      <c r="I823" s="68">
        <f>F823*G823</f>
        <v/>
      </c>
      <c r="J823" s="68">
        <f>SUM(H823:I823)</f>
        <v/>
      </c>
      <c r="K823" s="43" t="n"/>
    </row>
    <row r="824" hidden="1" ht="72.5" customHeight="1">
      <c r="A824" s="35" t="n">
        <v>816</v>
      </c>
      <c r="B824" s="40" t="inlineStr">
        <is>
          <t>J-ODP-SOLID-PB-8</t>
        </is>
      </c>
      <c r="C824" s="36" t="inlineStr">
        <is>
          <t>PENGADAAN DAN PEMASANGAN ODP TYPE SOLID KAP 8 CORE ADAPTOR SC/UPC TERDIRI DARI 1 BOX SPLITER (TERMASUK 1 SPLITER 1:8), 1 BOX DUMMY BESERTA ACCESSORIES, BERIKUT PELABELAN DAN PENEMPELAN QR CODE (DISEDIAKAN OLEH TELKOM)</t>
        </is>
      </c>
      <c r="D824" s="35" t="inlineStr">
        <is>
          <t>Bh</t>
        </is>
      </c>
      <c r="E824" s="42" t="n">
        <v>0</v>
      </c>
      <c r="F824" s="37" t="n">
        <v>156514</v>
      </c>
      <c r="G824" s="68" t="n"/>
      <c r="H824" s="68">
        <f>E824*G824</f>
        <v/>
      </c>
      <c r="I824" s="68">
        <f>F824*G824</f>
        <v/>
      </c>
      <c r="J824" s="68">
        <f>SUM(H824:I824)</f>
        <v/>
      </c>
      <c r="K824" s="43" t="n"/>
    </row>
    <row r="825" hidden="1" ht="58" customHeight="1">
      <c r="A825" s="35" t="n">
        <v>817</v>
      </c>
      <c r="B825" s="35" t="inlineStr">
        <is>
          <t>ODP-SOLID-PB-16</t>
        </is>
      </c>
      <c r="C825" s="36" t="inlineStr">
        <is>
          <t>PENGADAAN DAN PEMASANGAN ODP TYPE SOLID KAP 16 CORE ADAPTOR SC/UPC TERDIRI DARI 2 BOX SPLITER (TERMASUK 2 SPLITER 1:8) BESERTA ACCESSORIES, BERIKUT PELABELANDAN PENEMPELAN QR CODE (DISEDIAKAN OLEH TELKOM)</t>
        </is>
      </c>
      <c r="D825" s="35" t="inlineStr">
        <is>
          <t>Bh</t>
        </is>
      </c>
      <c r="E825" s="37" t="n">
        <v>852500</v>
      </c>
      <c r="F825" s="37" t="n">
        <v>162525</v>
      </c>
      <c r="G825" s="68" t="n"/>
      <c r="H825" s="68">
        <f>E825*G825</f>
        <v/>
      </c>
      <c r="I825" s="68">
        <f>F825*G825</f>
        <v/>
      </c>
      <c r="J825" s="68">
        <f>SUM(H825:I825)</f>
        <v/>
      </c>
      <c r="K825" s="43" t="n"/>
    </row>
    <row r="826" hidden="1" ht="58" customHeight="1">
      <c r="A826" s="35" t="n">
        <v>818</v>
      </c>
      <c r="B826" s="40" t="inlineStr">
        <is>
          <t>M-ODP-SOLID-PB-16</t>
        </is>
      </c>
      <c r="C826" s="36" t="inlineStr">
        <is>
          <t>PENGADAAN DAN PEMASANGAN ODP TYPE SOLID KAP 16 CORE ADAPTOR SC/UPC TERDIRI DARI 2 BOX SPLITER (TERMASUK 2 SPLITER 1:8) BESERTA ACCESSORIES, BERIKUT PELABELANDAN PENEMPELAN QR CODE (DISEDIAKAN OLEH TELKOM)</t>
        </is>
      </c>
      <c r="D826" s="35" t="inlineStr">
        <is>
          <t>Bh</t>
        </is>
      </c>
      <c r="E826" s="37" t="n">
        <v>852500</v>
      </c>
      <c r="F826" s="42" t="n">
        <v>0</v>
      </c>
      <c r="G826" s="68" t="n"/>
      <c r="H826" s="68">
        <f>E826*G826</f>
        <v/>
      </c>
      <c r="I826" s="68">
        <f>F826*G826</f>
        <v/>
      </c>
      <c r="J826" s="68">
        <f>SUM(H826:I826)</f>
        <v/>
      </c>
      <c r="K826" s="43" t="n"/>
    </row>
    <row r="827" hidden="1" ht="58" customHeight="1">
      <c r="A827" s="35" t="n">
        <v>819</v>
      </c>
      <c r="B827" s="40" t="inlineStr">
        <is>
          <t>J-ODP-SOLID-PB-16</t>
        </is>
      </c>
      <c r="C827" s="36" t="inlineStr">
        <is>
          <t>PENGADAAN DAN PEMASANGAN ODP TYPE SOLID KAP 16 CORE ADAPTOR SC/UPC TERDIRI DARI 2 BOX SPLITER (TERMASUK 2 SPLITER 1:8) BESERTA ACCESSORIES, BERIKUT PELABELANDAN PENEMPELAN QR CODE (DISEDIAKAN OLEH TELKOM)</t>
        </is>
      </c>
      <c r="D827" s="35" t="inlineStr">
        <is>
          <t>Bh</t>
        </is>
      </c>
      <c r="E827" s="42" t="n">
        <v>0</v>
      </c>
      <c r="F827" s="37" t="n">
        <v>162525</v>
      </c>
      <c r="G827" s="68" t="n"/>
      <c r="H827" s="68">
        <f>E827*G827</f>
        <v/>
      </c>
      <c r="I827" s="68">
        <f>F827*G827</f>
        <v/>
      </c>
      <c r="J827" s="68">
        <f>SUM(H827:I827)</f>
        <v/>
      </c>
      <c r="K827" s="43" t="n"/>
    </row>
    <row r="828" ht="101.5" customHeight="1">
      <c r="A828" s="35" t="n">
        <v>820</v>
      </c>
      <c r="B828" s="35" t="inlineStr">
        <is>
          <t>ODP Solid-PB-8 AS</t>
        </is>
      </c>
      <c r="C828"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8" s="35" t="inlineStr">
        <is>
          <t>Bh</t>
        </is>
      </c>
      <c r="E828" s="37" t="n">
        <v>659997</v>
      </c>
      <c r="F828" s="37" t="n">
        <v>153898</v>
      </c>
      <c r="G828" s="68" t="n">
        <v>3</v>
      </c>
      <c r="H828" s="68">
        <f>E828*G828</f>
        <v/>
      </c>
      <c r="I828" s="68">
        <f>F828*G828</f>
        <v/>
      </c>
      <c r="J828" s="68">
        <f>SUM(H828:I828)</f>
        <v/>
      </c>
      <c r="K828" s="43" t="n"/>
    </row>
    <row r="829" hidden="1" ht="101.5" customHeight="1">
      <c r="A829" s="35" t="n">
        <v>821</v>
      </c>
      <c r="B829" s="40" t="inlineStr">
        <is>
          <t>M-ODP Solid-PB-8 AS</t>
        </is>
      </c>
      <c r="C829"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29" s="35" t="inlineStr">
        <is>
          <t>Bh</t>
        </is>
      </c>
      <c r="E829" s="37" t="n">
        <v>659997</v>
      </c>
      <c r="F829" s="42" t="n">
        <v>0</v>
      </c>
      <c r="G829" s="68" t="n"/>
      <c r="H829" s="68">
        <f>E829*G829</f>
        <v/>
      </c>
      <c r="I829" s="68">
        <f>F829*G829</f>
        <v/>
      </c>
      <c r="J829" s="68">
        <f>SUM(H829:I829)</f>
        <v/>
      </c>
      <c r="K829" s="43" t="n"/>
    </row>
    <row r="830" hidden="1" ht="101.5" customHeight="1">
      <c r="A830" s="35" t="n">
        <v>822</v>
      </c>
      <c r="B830" s="40" t="inlineStr">
        <is>
          <t>J-ODP Solid-PB-8 AS</t>
        </is>
      </c>
      <c r="C830" s="36"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830" s="35" t="inlineStr">
        <is>
          <t>Bh</t>
        </is>
      </c>
      <c r="E830" s="42" t="n">
        <v>0</v>
      </c>
      <c r="F830" s="37" t="n">
        <v>153898</v>
      </c>
      <c r="G830" s="68" t="n"/>
      <c r="H830" s="68">
        <f>E830*G830</f>
        <v/>
      </c>
      <c r="I830" s="68">
        <f>F830*G830</f>
        <v/>
      </c>
      <c r="J830" s="68">
        <f>SUM(H830:I830)</f>
        <v/>
      </c>
      <c r="K830" s="43" t="n"/>
    </row>
    <row r="831" hidden="1" ht="101.5" customHeight="1">
      <c r="A831" s="35" t="n">
        <v>823</v>
      </c>
      <c r="B831" s="35" t="inlineStr">
        <is>
          <t>ODP Solid-PB-16 AS</t>
        </is>
      </c>
      <c r="C831"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1" s="35" t="inlineStr">
        <is>
          <t>Bh</t>
        </is>
      </c>
      <c r="E831" s="37" t="n">
        <v>896822</v>
      </c>
      <c r="F831" s="37" t="n">
        <v>157695</v>
      </c>
      <c r="G831" s="68" t="n"/>
      <c r="H831" s="68">
        <f>E831*G831</f>
        <v/>
      </c>
      <c r="I831" s="68">
        <f>F831*G831</f>
        <v/>
      </c>
      <c r="J831" s="68">
        <f>SUM(H831:I831)</f>
        <v/>
      </c>
      <c r="K831" s="43" t="n"/>
    </row>
    <row r="832" hidden="1" ht="101.5" customHeight="1">
      <c r="A832" s="35" t="n">
        <v>824</v>
      </c>
      <c r="B832" s="40" t="inlineStr">
        <is>
          <t>M-ODP Solid-PB-16 AS</t>
        </is>
      </c>
      <c r="C832"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2" s="35" t="inlineStr">
        <is>
          <t>Bh</t>
        </is>
      </c>
      <c r="E832" s="37" t="n">
        <v>896822</v>
      </c>
      <c r="F832" s="42" t="n">
        <v>0</v>
      </c>
      <c r="G832" s="68" t="n"/>
      <c r="H832" s="68">
        <f>E832*G832</f>
        <v/>
      </c>
      <c r="I832" s="68">
        <f>F832*G832</f>
        <v/>
      </c>
      <c r="J832" s="68">
        <f>SUM(H832:I832)</f>
        <v/>
      </c>
      <c r="K832" s="43" t="n"/>
    </row>
    <row r="833" hidden="1" ht="101.5" customHeight="1">
      <c r="A833" s="35" t="n">
        <v>825</v>
      </c>
      <c r="B833" s="40" t="inlineStr">
        <is>
          <t>J-ODP Solid-PB-16 AS</t>
        </is>
      </c>
      <c r="C833" s="36"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833" s="35" t="inlineStr">
        <is>
          <t>Bh</t>
        </is>
      </c>
      <c r="E833" s="42" t="n">
        <v>0</v>
      </c>
      <c r="F833" s="37" t="n">
        <v>157695</v>
      </c>
      <c r="G833" s="68" t="n"/>
      <c r="H833" s="68">
        <f>E833*G833</f>
        <v/>
      </c>
      <c r="I833" s="68">
        <f>F833*G833</f>
        <v/>
      </c>
      <c r="J833" s="68">
        <f>SUM(H833:I833)</f>
        <v/>
      </c>
      <c r="K833" s="43" t="n"/>
    </row>
    <row r="834" hidden="1" ht="14.5" customHeight="1">
      <c r="A834" s="35" t="n">
        <v>826</v>
      </c>
      <c r="B834" s="35" t="inlineStr">
        <is>
          <t>DC-PROTEC</t>
        </is>
      </c>
      <c r="C834" s="36" t="inlineStr">
        <is>
          <t>PASANG PELINDUNG LAYANG-LAYANG</t>
        </is>
      </c>
      <c r="D834" s="35" t="inlineStr">
        <is>
          <t>Rute</t>
        </is>
      </c>
      <c r="E834" s="37" t="n">
        <v>1680</v>
      </c>
      <c r="F834" s="37" t="n">
        <v>590</v>
      </c>
      <c r="G834" s="68" t="n"/>
      <c r="H834" s="68">
        <f>E834*G834</f>
        <v/>
      </c>
      <c r="I834" s="68">
        <f>F834*G834</f>
        <v/>
      </c>
      <c r="J834" s="68">
        <f>SUM(H834:I834)</f>
        <v/>
      </c>
      <c r="K834" s="43" t="n"/>
    </row>
    <row r="835" hidden="1" ht="14.5" customHeight="1">
      <c r="A835" s="35" t="n">
        <v>827</v>
      </c>
      <c r="B835" s="40" t="inlineStr">
        <is>
          <t>M-DC-PROTEC</t>
        </is>
      </c>
      <c r="C835" s="36" t="inlineStr">
        <is>
          <t>PASANG PELINDUNG LAYANG-LAYANG</t>
        </is>
      </c>
      <c r="D835" s="35" t="inlineStr">
        <is>
          <t>Rute</t>
        </is>
      </c>
      <c r="E835" s="37" t="n">
        <v>1680</v>
      </c>
      <c r="F835" s="42" t="n">
        <v>0</v>
      </c>
      <c r="G835" s="68" t="n"/>
      <c r="H835" s="68">
        <f>E835*G835</f>
        <v/>
      </c>
      <c r="I835" s="68">
        <f>F835*G835</f>
        <v/>
      </c>
      <c r="J835" s="68">
        <f>SUM(H835:I835)</f>
        <v/>
      </c>
      <c r="K835" s="43" t="n"/>
    </row>
    <row r="836" hidden="1" ht="14.5" customHeight="1">
      <c r="A836" s="35" t="n">
        <v>828</v>
      </c>
      <c r="B836" s="40" t="inlineStr">
        <is>
          <t>J-DC-PROTEC</t>
        </is>
      </c>
      <c r="C836" s="36" t="inlineStr">
        <is>
          <t>PASANG PELINDUNG LAYANG-LAYANG</t>
        </is>
      </c>
      <c r="D836" s="35" t="inlineStr">
        <is>
          <t>Rute</t>
        </is>
      </c>
      <c r="E836" s="42" t="n">
        <v>0</v>
      </c>
      <c r="F836" s="37" t="n">
        <v>590</v>
      </c>
      <c r="G836" s="68" t="n"/>
      <c r="H836" s="68">
        <f>E836*G836</f>
        <v/>
      </c>
      <c r="I836" s="68">
        <f>F836*G836</f>
        <v/>
      </c>
      <c r="J836" s="68">
        <f>SUM(H836:I836)</f>
        <v/>
      </c>
      <c r="K836" s="43" t="n"/>
    </row>
    <row r="837" hidden="1" ht="14.5" customHeight="1">
      <c r="A837" s="35" t="n">
        <v>829</v>
      </c>
      <c r="B837" s="35" t="inlineStr">
        <is>
          <t>NE-MS-DUST</t>
        </is>
      </c>
      <c r="C837" s="36" t="inlineStr">
        <is>
          <t>PEMASANGAN DUSH CAP</t>
        </is>
      </c>
      <c r="D837" s="35" t="inlineStr">
        <is>
          <t>Unit</t>
        </is>
      </c>
      <c r="E837" s="37" t="n">
        <v>220</v>
      </c>
      <c r="F837" s="37" t="n">
        <v>40</v>
      </c>
      <c r="G837" s="68" t="n"/>
      <c r="H837" s="68">
        <f>E837*G837</f>
        <v/>
      </c>
      <c r="I837" s="68">
        <f>F837*G837</f>
        <v/>
      </c>
      <c r="J837" s="68">
        <f>SUM(H837:I837)</f>
        <v/>
      </c>
      <c r="K837" s="43" t="n"/>
    </row>
    <row r="838" hidden="1" ht="14.5" customHeight="1">
      <c r="A838" s="35" t="n">
        <v>830</v>
      </c>
      <c r="B838" s="40" t="inlineStr">
        <is>
          <t>M-NE-MS-DUST</t>
        </is>
      </c>
      <c r="C838" s="36" t="inlineStr">
        <is>
          <t>PEMASANGAN DUSH CAP</t>
        </is>
      </c>
      <c r="D838" s="35" t="inlineStr">
        <is>
          <t>Unit</t>
        </is>
      </c>
      <c r="E838" s="37" t="n">
        <v>220</v>
      </c>
      <c r="F838" s="42" t="n">
        <v>0</v>
      </c>
      <c r="G838" s="68" t="n"/>
      <c r="H838" s="68">
        <f>E838*G838</f>
        <v/>
      </c>
      <c r="I838" s="68">
        <f>F838*G838</f>
        <v/>
      </c>
      <c r="J838" s="68">
        <f>SUM(H838:I838)</f>
        <v/>
      </c>
      <c r="K838" s="43" t="n"/>
    </row>
    <row r="839" hidden="1" ht="14.5" customHeight="1">
      <c r="A839" s="35" t="n">
        <v>831</v>
      </c>
      <c r="B839" s="40" t="inlineStr">
        <is>
          <t>J-NE-MS-DUST</t>
        </is>
      </c>
      <c r="C839" s="36" t="inlineStr">
        <is>
          <t>PEMASANGAN DUSH CAP</t>
        </is>
      </c>
      <c r="D839" s="35" t="inlineStr">
        <is>
          <t>Unit</t>
        </is>
      </c>
      <c r="E839" s="42" t="n">
        <v>0</v>
      </c>
      <c r="F839" s="37" t="n">
        <v>40</v>
      </c>
      <c r="G839" s="68" t="n"/>
      <c r="H839" s="68">
        <f>E839*G839</f>
        <v/>
      </c>
      <c r="I839" s="68">
        <f>F839*G839</f>
        <v/>
      </c>
      <c r="J839" s="68">
        <f>SUM(H839:I839)</f>
        <v/>
      </c>
      <c r="K839" s="43" t="n"/>
    </row>
    <row r="840" hidden="1" ht="29" customHeight="1">
      <c r="A840" s="35" t="n">
        <v>832</v>
      </c>
      <c r="B840" s="35" t="inlineStr">
        <is>
          <t>NE-MS-REPL-BATT100</t>
        </is>
      </c>
      <c r="C840" s="36" t="inlineStr">
        <is>
          <t>PENGADAAN DAN PEMASANGAN UNTUK PENGGANTIAN BATERAI 100 AH (TYPE VRLA)</t>
        </is>
      </c>
      <c r="D840" s="35" t="inlineStr">
        <is>
          <t>Unit</t>
        </is>
      </c>
      <c r="E840" s="37" t="n">
        <v>2310880</v>
      </c>
      <c r="F840" s="37" t="n">
        <v>122430</v>
      </c>
      <c r="G840" s="68" t="n"/>
      <c r="H840" s="68">
        <f>E840*G840</f>
        <v/>
      </c>
      <c r="I840" s="68">
        <f>F840*G840</f>
        <v/>
      </c>
      <c r="J840" s="68">
        <f>SUM(H840:I840)</f>
        <v/>
      </c>
      <c r="K840" s="43" t="n"/>
    </row>
    <row r="841" hidden="1" ht="29" customHeight="1">
      <c r="A841" s="35" t="n">
        <v>833</v>
      </c>
      <c r="B841" s="40" t="inlineStr">
        <is>
          <t>M-NE-MS-REPL-BATT100</t>
        </is>
      </c>
      <c r="C841" s="36" t="inlineStr">
        <is>
          <t>PENGADAAN DAN PEMASANGAN UNTUK PENGGANTIAN BATERAI 100 AH (TYPE VRLA)</t>
        </is>
      </c>
      <c r="D841" s="35" t="inlineStr">
        <is>
          <t>Unit</t>
        </is>
      </c>
      <c r="E841" s="37" t="n">
        <v>2310880</v>
      </c>
      <c r="F841" s="42" t="n">
        <v>0</v>
      </c>
      <c r="G841" s="68" t="n"/>
      <c r="H841" s="68">
        <f>E841*G841</f>
        <v/>
      </c>
      <c r="I841" s="68">
        <f>F841*G841</f>
        <v/>
      </c>
      <c r="J841" s="68">
        <f>SUM(H841:I841)</f>
        <v/>
      </c>
      <c r="K841" s="43" t="n"/>
    </row>
    <row r="842" hidden="1" ht="29" customHeight="1">
      <c r="A842" s="35" t="n">
        <v>834</v>
      </c>
      <c r="B842" s="40" t="inlineStr">
        <is>
          <t>J-NE-MS-REPL-BATT100</t>
        </is>
      </c>
      <c r="C842" s="36" t="inlineStr">
        <is>
          <t>PENGADAAN DAN PEMASANGAN UNTUK PENGGANTIAN BATERAI 100 AH (TYPE VRLA)</t>
        </is>
      </c>
      <c r="D842" s="35" t="inlineStr">
        <is>
          <t>Unit</t>
        </is>
      </c>
      <c r="E842" s="42" t="n">
        <v>0</v>
      </c>
      <c r="F842" s="37" t="n">
        <v>122430</v>
      </c>
      <c r="G842" s="68" t="n"/>
      <c r="H842" s="68">
        <f>E842*G842</f>
        <v/>
      </c>
      <c r="I842" s="68">
        <f>F842*G842</f>
        <v/>
      </c>
      <c r="J842" s="68">
        <f>SUM(H842:I842)</f>
        <v/>
      </c>
      <c r="K842" s="43" t="n"/>
    </row>
    <row r="843" hidden="1" ht="29" customHeight="1">
      <c r="A843" s="35" t="n">
        <v>835</v>
      </c>
      <c r="B843" s="35" t="inlineStr">
        <is>
          <t>NE-MS-REPL-BATT60</t>
        </is>
      </c>
      <c r="C843" s="36" t="inlineStr">
        <is>
          <t>PENGADAAN DAN PEMASANGAN UNTUK PENGGANTIAN BATERAI 60 AH (TYPE VRLA)</t>
        </is>
      </c>
      <c r="D843" s="35" t="inlineStr">
        <is>
          <t>Unit</t>
        </is>
      </c>
      <c r="E843" s="37" t="n">
        <v>1476530</v>
      </c>
      <c r="F843" s="37" t="n">
        <v>104280</v>
      </c>
      <c r="G843" s="68" t="n"/>
      <c r="H843" s="68">
        <f>E843*G843</f>
        <v/>
      </c>
      <c r="I843" s="68">
        <f>F843*G843</f>
        <v/>
      </c>
      <c r="J843" s="68">
        <f>SUM(H843:I843)</f>
        <v/>
      </c>
      <c r="K843" s="43" t="n"/>
    </row>
    <row r="844" hidden="1" ht="29" customHeight="1">
      <c r="A844" s="35" t="n">
        <v>836</v>
      </c>
      <c r="B844" s="40" t="inlineStr">
        <is>
          <t>M-NE-MS-REPL-BATT60</t>
        </is>
      </c>
      <c r="C844" s="36" t="inlineStr">
        <is>
          <t>PENGADAAN DAN PEMASANGAN UNTUK PENGGANTIAN BATERAI 60 AH (TYPE VRLA)</t>
        </is>
      </c>
      <c r="D844" s="35" t="inlineStr">
        <is>
          <t>Unit</t>
        </is>
      </c>
      <c r="E844" s="37" t="n">
        <v>1476530</v>
      </c>
      <c r="F844" s="42" t="n">
        <v>0</v>
      </c>
      <c r="G844" s="68" t="n"/>
      <c r="H844" s="68">
        <f>E844*G844</f>
        <v/>
      </c>
      <c r="I844" s="68">
        <f>F844*G844</f>
        <v/>
      </c>
      <c r="J844" s="68">
        <f>SUM(H844:I844)</f>
        <v/>
      </c>
      <c r="K844" s="43" t="n"/>
    </row>
    <row r="845" hidden="1" ht="29" customHeight="1">
      <c r="A845" s="35" t="n">
        <v>837</v>
      </c>
      <c r="B845" s="40" t="inlineStr">
        <is>
          <t>J-NE-MS-REPL-BATT60</t>
        </is>
      </c>
      <c r="C845" s="36" t="inlineStr">
        <is>
          <t>PENGADAAN DAN PEMASANGAN UNTUK PENGGANTIAN BATERAI 60 AH (TYPE VRLA)</t>
        </is>
      </c>
      <c r="D845" s="35" t="inlineStr">
        <is>
          <t>Unit</t>
        </is>
      </c>
      <c r="E845" s="42" t="n">
        <v>0</v>
      </c>
      <c r="F845" s="37" t="n">
        <v>104280</v>
      </c>
      <c r="G845" s="68" t="n"/>
      <c r="H845" s="68">
        <f>E845*G845</f>
        <v/>
      </c>
      <c r="I845" s="68">
        <f>F845*G845</f>
        <v/>
      </c>
      <c r="J845" s="68">
        <f>SUM(H845:I845)</f>
        <v/>
      </c>
      <c r="K845" s="43" t="n"/>
    </row>
    <row r="846" hidden="1" ht="29" customHeight="1">
      <c r="A846" s="35" t="n">
        <v>838</v>
      </c>
      <c r="B846" s="35" t="inlineStr">
        <is>
          <t>NE-MS-REPL-BATT-45</t>
        </is>
      </c>
      <c r="C846" s="36" t="inlineStr">
        <is>
          <t>PENGADAAN DAN PEMASANGAN UNTUK PENGGANTIAN BATERAI 45 AH (TYPE VRLA)</t>
        </is>
      </c>
      <c r="D846" s="35" t="inlineStr">
        <is>
          <t>Unit</t>
        </is>
      </c>
      <c r="E846" s="37" t="n">
        <v>1210000</v>
      </c>
      <c r="F846" s="37" t="n">
        <v>104280</v>
      </c>
      <c r="G846" s="68" t="n"/>
      <c r="H846" s="68">
        <f>E846*G846</f>
        <v/>
      </c>
      <c r="I846" s="68">
        <f>F846*G846</f>
        <v/>
      </c>
      <c r="J846" s="68">
        <f>SUM(H846:I846)</f>
        <v/>
      </c>
      <c r="K846" s="43" t="n"/>
    </row>
    <row r="847" hidden="1" ht="29" customHeight="1">
      <c r="A847" s="35" t="n">
        <v>839</v>
      </c>
      <c r="B847" s="40" t="inlineStr">
        <is>
          <t>M-NE-MS-REPL-BATT-45</t>
        </is>
      </c>
      <c r="C847" s="36" t="inlineStr">
        <is>
          <t>PENGADAAN DAN PEMASANGAN UNTUK PENGGANTIAN BATERAI 45 AH (TYPE VRLA)</t>
        </is>
      </c>
      <c r="D847" s="35" t="inlineStr">
        <is>
          <t>Unit</t>
        </is>
      </c>
      <c r="E847" s="37" t="n">
        <v>1210000</v>
      </c>
      <c r="F847" s="42" t="n">
        <v>0</v>
      </c>
      <c r="G847" s="68" t="n"/>
      <c r="H847" s="68">
        <f>E847*G847</f>
        <v/>
      </c>
      <c r="I847" s="68">
        <f>F847*G847</f>
        <v/>
      </c>
      <c r="J847" s="68">
        <f>SUM(H847:I847)</f>
        <v/>
      </c>
      <c r="K847" s="43" t="n"/>
    </row>
    <row r="848" hidden="1" ht="29" customHeight="1">
      <c r="A848" s="35" t="n">
        <v>840</v>
      </c>
      <c r="B848" s="40" t="inlineStr">
        <is>
          <t>J-NE-MS-REPL-BATT-45</t>
        </is>
      </c>
      <c r="C848" s="36" t="inlineStr">
        <is>
          <t>PENGADAAN DAN PEMASANGAN UNTUK PENGGANTIAN BATERAI 45 AH (TYPE VRLA)</t>
        </is>
      </c>
      <c r="D848" s="35" t="inlineStr">
        <is>
          <t>Unit</t>
        </is>
      </c>
      <c r="E848" s="42" t="n">
        <v>0</v>
      </c>
      <c r="F848" s="37" t="n">
        <v>104280</v>
      </c>
      <c r="G848" s="68" t="n"/>
      <c r="H848" s="68">
        <f>E848*G848</f>
        <v/>
      </c>
      <c r="I848" s="68">
        <f>F848*G848</f>
        <v/>
      </c>
      <c r="J848" s="68">
        <f>SUM(H848:I848)</f>
        <v/>
      </c>
      <c r="K848" s="43" t="n"/>
    </row>
    <row r="849" hidden="1" ht="29" customHeight="1">
      <c r="A849" s="35" t="n">
        <v>841</v>
      </c>
      <c r="B849" s="35" t="inlineStr">
        <is>
          <t>PIGTAIL</t>
        </is>
      </c>
      <c r="C849" s="36" t="inlineStr">
        <is>
          <t>PEKERJAAN MENYAMBUNGKAN KABEL OPTIK OUTDOOR KE INDOOR) PENGADAAN DAN PEMASANGAN PIGTAIL (SC/FC)</t>
        </is>
      </c>
      <c r="D849" s="35" t="inlineStr">
        <is>
          <t>Pcs</t>
        </is>
      </c>
      <c r="E849" s="37" t="n">
        <v>17600</v>
      </c>
      <c r="F849" s="37" t="n">
        <v>61470</v>
      </c>
      <c r="G849" s="68" t="n"/>
      <c r="H849" s="68">
        <f>E849*G849</f>
        <v/>
      </c>
      <c r="I849" s="68">
        <f>F849*G849</f>
        <v/>
      </c>
      <c r="J849" s="68">
        <f>SUM(H849:I849)</f>
        <v/>
      </c>
      <c r="K849" s="43" t="n"/>
    </row>
    <row r="850" hidden="1" ht="29" customHeight="1">
      <c r="A850" s="35" t="n">
        <v>842</v>
      </c>
      <c r="B850" s="40" t="inlineStr">
        <is>
          <t>M-PIGTAIL</t>
        </is>
      </c>
      <c r="C850" s="36" t="inlineStr">
        <is>
          <t>PEKERJAAN MENYAMBUNGKAN KABEL OPTIK OUTDOOR KE INDOOR) PENGADAAN DAN PEMASANGAN PIGTAIL (SC/FC)</t>
        </is>
      </c>
      <c r="D850" s="35" t="inlineStr">
        <is>
          <t>Pcs</t>
        </is>
      </c>
      <c r="E850" s="37" t="n">
        <v>17600</v>
      </c>
      <c r="F850" s="42" t="n">
        <v>0</v>
      </c>
      <c r="G850" s="68" t="n"/>
      <c r="H850" s="68">
        <f>E850*G850</f>
        <v/>
      </c>
      <c r="I850" s="68">
        <f>F850*G850</f>
        <v/>
      </c>
      <c r="J850" s="68">
        <f>SUM(H850:I850)</f>
        <v/>
      </c>
      <c r="K850" s="43" t="n"/>
    </row>
    <row r="851" hidden="1" ht="29" customHeight="1">
      <c r="A851" s="35" t="n">
        <v>843</v>
      </c>
      <c r="B851" s="40" t="inlineStr">
        <is>
          <t>J-PIGTAIL</t>
        </is>
      </c>
      <c r="C851" s="36" t="inlineStr">
        <is>
          <t>PEKERJAAN MENYAMBUNGKAN KABEL OPTIK OUTDOOR KE INDOOR) PENGADAAN DAN PEMASANGAN PIGTAIL (SC/FC)</t>
        </is>
      </c>
      <c r="D851" s="35" t="inlineStr">
        <is>
          <t>Pcs</t>
        </is>
      </c>
      <c r="E851" s="42" t="n">
        <v>0</v>
      </c>
      <c r="F851" s="37" t="n">
        <v>61470</v>
      </c>
      <c r="G851" s="68" t="n"/>
      <c r="H851" s="68">
        <f>E851*G851</f>
        <v/>
      </c>
      <c r="I851" s="68">
        <f>F851*G851</f>
        <v/>
      </c>
      <c r="J851" s="68">
        <f>SUM(H851:I851)</f>
        <v/>
      </c>
      <c r="K851" s="43" t="n"/>
    </row>
    <row r="852" hidden="1" ht="29" customHeight="1">
      <c r="A852" s="35" t="n">
        <v>844</v>
      </c>
      <c r="B852" s="35" t="inlineStr">
        <is>
          <t>TRAY-MESH-4</t>
        </is>
      </c>
      <c r="C852" s="36" t="inlineStr">
        <is>
          <t>WIRE MESH CABLE TRAY 40 X 10 CM, DENGAN SUPPORTING MATERIAL</t>
        </is>
      </c>
      <c r="D852" s="35" t="inlineStr">
        <is>
          <t>Mtr</t>
        </is>
      </c>
      <c r="E852" s="37" t="n">
        <v>165000</v>
      </c>
      <c r="F852" s="37" t="n">
        <v>46750</v>
      </c>
      <c r="G852" s="68" t="n"/>
      <c r="H852" s="68">
        <f>E852*G852</f>
        <v/>
      </c>
      <c r="I852" s="68">
        <f>F852*G852</f>
        <v/>
      </c>
      <c r="J852" s="68">
        <f>SUM(H852:I852)</f>
        <v/>
      </c>
      <c r="K852" s="43" t="n"/>
    </row>
    <row r="853" hidden="1" ht="29" customHeight="1">
      <c r="A853" s="35" t="n">
        <v>845</v>
      </c>
      <c r="B853" s="40" t="inlineStr">
        <is>
          <t>M-TRAY-MESH-4</t>
        </is>
      </c>
      <c r="C853" s="36" t="inlineStr">
        <is>
          <t>WIRE MESH CABLE TRAY 40 X 10 CM, DENGAN SUPPORTING MATERIAL</t>
        </is>
      </c>
      <c r="D853" s="35" t="inlineStr">
        <is>
          <t>Mtr</t>
        </is>
      </c>
      <c r="E853" s="37" t="n">
        <v>165000</v>
      </c>
      <c r="F853" s="42" t="n">
        <v>0</v>
      </c>
      <c r="G853" s="68" t="n"/>
      <c r="H853" s="68">
        <f>E853*G853</f>
        <v/>
      </c>
      <c r="I853" s="68">
        <f>F853*G853</f>
        <v/>
      </c>
      <c r="J853" s="68">
        <f>SUM(H853:I853)</f>
        <v/>
      </c>
      <c r="K853" s="43" t="n"/>
    </row>
    <row r="854" hidden="1" ht="29" customHeight="1">
      <c r="A854" s="35" t="n">
        <v>846</v>
      </c>
      <c r="B854" s="40" t="inlineStr">
        <is>
          <t>J-TRAY-MESH-4</t>
        </is>
      </c>
      <c r="C854" s="36" t="inlineStr">
        <is>
          <t>WIRE MESH CABLE TRAY 40 X 10 CM, DENGAN SUPPORTING MATERIAL</t>
        </is>
      </c>
      <c r="D854" s="35" t="inlineStr">
        <is>
          <t>Mtr</t>
        </is>
      </c>
      <c r="E854" s="42" t="n">
        <v>0</v>
      </c>
      <c r="F854" s="37" t="n">
        <v>46750</v>
      </c>
      <c r="G854" s="68" t="n"/>
      <c r="H854" s="68">
        <f>E854*G854</f>
        <v/>
      </c>
      <c r="I854" s="68">
        <f>F854*G854</f>
        <v/>
      </c>
      <c r="J854" s="68">
        <f>SUM(H854:I854)</f>
        <v/>
      </c>
      <c r="K854" s="43" t="n"/>
    </row>
    <row r="855" hidden="1" ht="29" customHeight="1">
      <c r="A855" s="35" t="n">
        <v>847</v>
      </c>
      <c r="B855" s="35" t="inlineStr">
        <is>
          <t>DC-OF-SJ-655C</t>
        </is>
      </c>
      <c r="C855" s="36" t="inlineStr">
        <is>
          <t>PENGADAAN DAN PEMASANGAN KABEL DUCT FIBER OPTIK SINGLE MODE 144 CORE G 655 C</t>
        </is>
      </c>
      <c r="D855" s="35" t="inlineStr">
        <is>
          <t>Mtr</t>
        </is>
      </c>
      <c r="E855" s="37" t="n">
        <v>66000</v>
      </c>
      <c r="F855" s="37" t="n">
        <v>3640</v>
      </c>
      <c r="G855" s="68" t="n"/>
      <c r="H855" s="68">
        <f>E855*G855</f>
        <v/>
      </c>
      <c r="I855" s="68">
        <f>F855*G855</f>
        <v/>
      </c>
      <c r="J855" s="68">
        <f>SUM(H855:I855)</f>
        <v/>
      </c>
      <c r="K855" s="43" t="n"/>
    </row>
    <row r="856" hidden="1" ht="29" customHeight="1">
      <c r="A856" s="35" t="n">
        <v>848</v>
      </c>
      <c r="B856" s="40" t="inlineStr">
        <is>
          <t>M-DC-OF-SJ-655C</t>
        </is>
      </c>
      <c r="C856" s="36" t="inlineStr">
        <is>
          <t>PENGADAAN DAN PEMASANGAN KABEL DUCT FIBER OPTIK SINGLE MODE 144 CORE G 655 C</t>
        </is>
      </c>
      <c r="D856" s="35" t="inlineStr">
        <is>
          <t>Mtr</t>
        </is>
      </c>
      <c r="E856" s="37" t="n">
        <v>66000</v>
      </c>
      <c r="F856" s="42" t="n">
        <v>0</v>
      </c>
      <c r="G856" s="68" t="n"/>
      <c r="H856" s="68">
        <f>E856*G856</f>
        <v/>
      </c>
      <c r="I856" s="68">
        <f>F856*G856</f>
        <v/>
      </c>
      <c r="J856" s="68">
        <f>SUM(H856:I856)</f>
        <v/>
      </c>
      <c r="K856" s="43" t="n"/>
    </row>
    <row r="857" hidden="1" ht="29" customHeight="1">
      <c r="A857" s="35" t="n">
        <v>849</v>
      </c>
      <c r="B857" s="40" t="inlineStr">
        <is>
          <t>J-DC-OF-SJ-655C</t>
        </is>
      </c>
      <c r="C857" s="36" t="inlineStr">
        <is>
          <t>PENGADAAN DAN PEMASANGAN KABEL DUCT FIBER OPTIK SINGLE MODE 144 CORE G 655 C</t>
        </is>
      </c>
      <c r="D857" s="35" t="inlineStr">
        <is>
          <t>Mtr</t>
        </is>
      </c>
      <c r="E857" s="42" t="n">
        <v>0</v>
      </c>
      <c r="F857" s="37" t="n">
        <v>3640</v>
      </c>
      <c r="G857" s="68" t="n"/>
      <c r="H857" s="68">
        <f>E857*G857</f>
        <v/>
      </c>
      <c r="I857" s="68">
        <f>F857*G857</f>
        <v/>
      </c>
      <c r="J857" s="68">
        <f>SUM(H857:I857)</f>
        <v/>
      </c>
      <c r="K857" s="43" t="n"/>
    </row>
    <row r="858" hidden="1" ht="14.5" customHeight="1">
      <c r="A858" s="35" t="n">
        <v>850</v>
      </c>
      <c r="B858" s="35" t="inlineStr">
        <is>
          <t>PL-RING</t>
        </is>
      </c>
      <c r="C858" s="36" t="inlineStr">
        <is>
          <t>PENGADAAN DAN PEMASANGAN POLE STRAP RING</t>
        </is>
      </c>
      <c r="D858" s="35" t="inlineStr">
        <is>
          <t>Bh</t>
        </is>
      </c>
      <c r="E858" s="37" t="n">
        <v>35310</v>
      </c>
      <c r="F858" s="37" t="n">
        <v>13200</v>
      </c>
      <c r="G858" s="68" t="n"/>
      <c r="H858" s="68">
        <f>E858*G858</f>
        <v/>
      </c>
      <c r="I858" s="68">
        <f>F858*G858</f>
        <v/>
      </c>
      <c r="J858" s="68">
        <f>SUM(H858:I858)</f>
        <v/>
      </c>
      <c r="K858" s="43" t="n"/>
    </row>
    <row r="859" hidden="1" ht="14.5" customHeight="1">
      <c r="A859" s="35" t="n">
        <v>851</v>
      </c>
      <c r="B859" s="40" t="inlineStr">
        <is>
          <t>M-PL-RING</t>
        </is>
      </c>
      <c r="C859" s="36" t="inlineStr">
        <is>
          <t>PENGADAAN DAN PEMASANGAN POLE STRAP RING</t>
        </is>
      </c>
      <c r="D859" s="35" t="inlineStr">
        <is>
          <t>Bh</t>
        </is>
      </c>
      <c r="E859" s="37" t="n">
        <v>35310</v>
      </c>
      <c r="F859" s="42" t="n">
        <v>0</v>
      </c>
      <c r="G859" s="68" t="n"/>
      <c r="H859" s="68">
        <f>E859*G859</f>
        <v/>
      </c>
      <c r="I859" s="68">
        <f>F859*G859</f>
        <v/>
      </c>
      <c r="J859" s="68">
        <f>SUM(H859:I859)</f>
        <v/>
      </c>
      <c r="K859" s="43" t="n"/>
    </row>
    <row r="860" hidden="1" ht="14.5" customHeight="1">
      <c r="A860" s="35" t="n">
        <v>852</v>
      </c>
      <c r="B860" s="40" t="inlineStr">
        <is>
          <t>J-PL-RING</t>
        </is>
      </c>
      <c r="C860" s="36" t="inlineStr">
        <is>
          <t>PENGADAAN DAN PEMASANGAN POLE STRAP RING</t>
        </is>
      </c>
      <c r="D860" s="35" t="inlineStr">
        <is>
          <t>Bh</t>
        </is>
      </c>
      <c r="E860" s="42" t="n">
        <v>0</v>
      </c>
      <c r="F860" s="37" t="n">
        <v>13200</v>
      </c>
      <c r="G860" s="68" t="n"/>
      <c r="H860" s="68">
        <f>E860*G860</f>
        <v/>
      </c>
      <c r="I860" s="68">
        <f>F860*G860</f>
        <v/>
      </c>
      <c r="J860" s="68">
        <f>SUM(H860:I860)</f>
        <v/>
      </c>
      <c r="K860" s="43" t="n"/>
    </row>
    <row r="861" hidden="1" ht="14.5" customHeight="1">
      <c r="A861" s="35" t="n">
        <v>853</v>
      </c>
      <c r="B861" s="35" t="inlineStr">
        <is>
          <t>PL-TYPE-J</t>
        </is>
      </c>
      <c r="C861" s="36" t="inlineStr">
        <is>
          <t>PENGADAAN DAN PEMASANGAN POLE STRAP TYPE J</t>
        </is>
      </c>
      <c r="D861" s="35" t="inlineStr">
        <is>
          <t>Bh</t>
        </is>
      </c>
      <c r="E861" s="37" t="n">
        <v>38500</v>
      </c>
      <c r="F861" s="37" t="n">
        <v>13200</v>
      </c>
      <c r="G861" s="68" t="n"/>
      <c r="H861" s="68">
        <f>E861*G861</f>
        <v/>
      </c>
      <c r="I861" s="68">
        <f>F861*G861</f>
        <v/>
      </c>
      <c r="J861" s="68">
        <f>SUM(H861:I861)</f>
        <v/>
      </c>
      <c r="K861" s="43" t="n"/>
    </row>
    <row r="862" hidden="1" ht="14.5" customHeight="1">
      <c r="A862" s="35" t="n">
        <v>854</v>
      </c>
      <c r="B862" s="40" t="inlineStr">
        <is>
          <t>M-PL-TYPE-J</t>
        </is>
      </c>
      <c r="C862" s="36" t="inlineStr">
        <is>
          <t>PENGADAAN DAN PEMASANGAN POLE STRAP TYPE J</t>
        </is>
      </c>
      <c r="D862" s="35" t="inlineStr">
        <is>
          <t>Bh</t>
        </is>
      </c>
      <c r="E862" s="37" t="n">
        <v>38500</v>
      </c>
      <c r="F862" s="42" t="n">
        <v>0</v>
      </c>
      <c r="G862" s="68" t="n"/>
      <c r="H862" s="68">
        <f>E862*G862</f>
        <v/>
      </c>
      <c r="I862" s="68">
        <f>F862*G862</f>
        <v/>
      </c>
      <c r="J862" s="68">
        <f>SUM(H862:I862)</f>
        <v/>
      </c>
      <c r="K862" s="43" t="n"/>
    </row>
    <row r="863" hidden="1" ht="14.5" customHeight="1">
      <c r="A863" s="35" t="n">
        <v>855</v>
      </c>
      <c r="B863" s="40" t="inlineStr">
        <is>
          <t>J-PL-TYPE-J</t>
        </is>
      </c>
      <c r="C863" s="36" t="inlineStr">
        <is>
          <t>PENGADAAN DAN PEMASANGAN POLE STRAP TYPE J</t>
        </is>
      </c>
      <c r="D863" s="35" t="inlineStr">
        <is>
          <t>Bh</t>
        </is>
      </c>
      <c r="E863" s="42" t="n">
        <v>0</v>
      </c>
      <c r="F863" s="37" t="n">
        <v>13200</v>
      </c>
      <c r="G863" s="68" t="n"/>
      <c r="H863" s="68">
        <f>E863*G863</f>
        <v/>
      </c>
      <c r="I863" s="68">
        <f>F863*G863</f>
        <v/>
      </c>
      <c r="J863" s="68">
        <f>SUM(H863:I863)</f>
        <v/>
      </c>
      <c r="K863" s="43" t="n"/>
    </row>
    <row r="864" hidden="1" ht="43.5" customHeight="1">
      <c r="A864" s="35" t="n">
        <v>856</v>
      </c>
      <c r="B864" s="35" t="inlineStr">
        <is>
          <t>CASSETTE-FO</t>
        </is>
      </c>
      <c r="C864" s="36" t="inlineStr">
        <is>
          <t>PENGADAAN DAN PEMASANGAN CASSETTE FO BASED TRAY FOR ODC 144/288 CORE PER 12 FIBER TERMASUK ADAPTOR TANPA PIGTAIL</t>
        </is>
      </c>
      <c r="D864" s="35" t="inlineStr">
        <is>
          <t>pcs</t>
        </is>
      </c>
      <c r="E864" s="37" t="n">
        <v>319000</v>
      </c>
      <c r="F864" s="37" t="n">
        <v>105740</v>
      </c>
      <c r="G864" s="68" t="n"/>
      <c r="H864" s="68">
        <f>E864*G864</f>
        <v/>
      </c>
      <c r="I864" s="68">
        <f>F864*G864</f>
        <v/>
      </c>
      <c r="J864" s="68">
        <f>SUM(H864:I864)</f>
        <v/>
      </c>
      <c r="K864" s="43" t="n"/>
    </row>
    <row r="865" hidden="1" ht="43.5" customHeight="1">
      <c r="A865" s="35" t="n">
        <v>857</v>
      </c>
      <c r="B865" s="40" t="inlineStr">
        <is>
          <t>M-CASSETTE-FO</t>
        </is>
      </c>
      <c r="C865" s="36" t="inlineStr">
        <is>
          <t>PENGADAAN DAN PEMASANGAN CASSETTE FO BASED TRAY FOR ODC 144/288 CORE PER 12 FIBER TERMASUK ADAPTOR TANPA PIGTAIL</t>
        </is>
      </c>
      <c r="D865" s="35" t="inlineStr">
        <is>
          <t>pcs</t>
        </is>
      </c>
      <c r="E865" s="37" t="n">
        <v>319000</v>
      </c>
      <c r="F865" s="42" t="n">
        <v>0</v>
      </c>
      <c r="G865" s="68" t="n"/>
      <c r="H865" s="68">
        <f>E865*G865</f>
        <v/>
      </c>
      <c r="I865" s="68">
        <f>F865*G865</f>
        <v/>
      </c>
      <c r="J865" s="68">
        <f>SUM(H865:I865)</f>
        <v/>
      </c>
      <c r="K865" s="43" t="n"/>
    </row>
    <row r="866" hidden="1" ht="43.5" customHeight="1">
      <c r="A866" s="35" t="n">
        <v>858</v>
      </c>
      <c r="B866" s="40" t="inlineStr">
        <is>
          <t>J-CASSETTE-FO</t>
        </is>
      </c>
      <c r="C866" s="36" t="inlineStr">
        <is>
          <t>PENGADAAN DAN PEMASANGAN CASSETTE FO BASED TRAY FOR ODC 144/288 CORE PER 12 FIBER TERMASUK ADAPTOR TANPA PIGTAIL</t>
        </is>
      </c>
      <c r="D866" s="35" t="inlineStr">
        <is>
          <t>pcs</t>
        </is>
      </c>
      <c r="E866" s="42" t="n">
        <v>0</v>
      </c>
      <c r="F866" s="37" t="n">
        <v>105740</v>
      </c>
      <c r="G866" s="68" t="n"/>
      <c r="H866" s="68">
        <f>E866*G866</f>
        <v/>
      </c>
      <c r="I866" s="68">
        <f>F866*G866</f>
        <v/>
      </c>
      <c r="J866" s="68">
        <f>SUM(H866:I866)</f>
        <v/>
      </c>
      <c r="K866" s="43" t="n"/>
    </row>
    <row r="867" hidden="1" ht="14.5" customHeight="1">
      <c r="A867" s="35" t="n">
        <v>859</v>
      </c>
      <c r="B867" s="35" t="inlineStr">
        <is>
          <t>CASSETTE-SPLITTER</t>
        </is>
      </c>
      <c r="C867" s="36" t="inlineStr">
        <is>
          <t>PENGADAAN DAN PEMASANGAN CASSETTE SPLITTER (ODP CA-8)</t>
        </is>
      </c>
      <c r="D867" s="35" t="inlineStr">
        <is>
          <t>pcs</t>
        </is>
      </c>
      <c r="E867" s="37" t="n">
        <v>55000</v>
      </c>
      <c r="F867" s="37" t="n">
        <v>0</v>
      </c>
      <c r="G867" s="68" t="n"/>
      <c r="H867" s="68">
        <f>E867*G867</f>
        <v/>
      </c>
      <c r="I867" s="68">
        <f>F867*G867</f>
        <v/>
      </c>
      <c r="J867" s="68">
        <f>SUM(H867:I867)</f>
        <v/>
      </c>
      <c r="K867" s="43" t="n"/>
    </row>
    <row r="868" hidden="1" ht="14.5" customHeight="1">
      <c r="A868" s="35" t="n">
        <v>860</v>
      </c>
      <c r="B868" s="40" t="inlineStr">
        <is>
          <t>M-CASSETTE-SPLITTER</t>
        </is>
      </c>
      <c r="C868" s="36" t="inlineStr">
        <is>
          <t>PENGADAAN DAN PEMASANGAN CASSETTE SPLITTER (ODP CA-8)</t>
        </is>
      </c>
      <c r="D868" s="35" t="inlineStr">
        <is>
          <t>pcs</t>
        </is>
      </c>
      <c r="E868" s="37" t="n">
        <v>55000</v>
      </c>
      <c r="F868" s="42" t="n">
        <v>0</v>
      </c>
      <c r="G868" s="68" t="n"/>
      <c r="H868" s="68">
        <f>E868*G868</f>
        <v/>
      </c>
      <c r="I868" s="68">
        <f>F868*G868</f>
        <v/>
      </c>
      <c r="J868" s="68">
        <f>SUM(H868:I868)</f>
        <v/>
      </c>
      <c r="K868" s="43" t="n"/>
    </row>
    <row r="869" hidden="1" ht="87" customHeight="1">
      <c r="A869" s="35" t="n">
        <v>861</v>
      </c>
      <c r="B869" s="35" t="inlineStr">
        <is>
          <t>NYY- 3 X 2.5MM</t>
        </is>
      </c>
      <c r="C869" s="36" t="inlineStr">
        <is>
          <t>A. PENGADAAN KABEL LISTRIK NYY 3*2,5MM DARI ACPDB/DCPDB BOX KE MCB BOX 
  B. PENGADAAN NYY 3*2,5MM DARI MCB BOX MENUJU SOCKET POWER UNTUK RACK SERVER
  C. PENGADAAN NYY 3*2,5MM DARI MCB BOX MENUJU MESIN EDC JIKA DIBUTUHKAN</t>
        </is>
      </c>
      <c r="D869" s="35" t="inlineStr">
        <is>
          <t>Mtr</t>
        </is>
      </c>
      <c r="E869" s="37" t="n">
        <v>17900</v>
      </c>
      <c r="F869" s="37" t="n">
        <v>3960</v>
      </c>
      <c r="G869" s="68" t="n"/>
      <c r="H869" s="68">
        <f>E869*G869</f>
        <v/>
      </c>
      <c r="I869" s="68">
        <f>F869*G869</f>
        <v/>
      </c>
      <c r="J869" s="68">
        <f>SUM(H869:I869)</f>
        <v/>
      </c>
      <c r="K869" s="43" t="n"/>
    </row>
    <row r="870" hidden="1" ht="87" customHeight="1">
      <c r="A870" s="35" t="n">
        <v>862</v>
      </c>
      <c r="B870" s="40" t="inlineStr">
        <is>
          <t>M-NYY- 3 X 2.5MM</t>
        </is>
      </c>
      <c r="C870" s="36" t="inlineStr">
        <is>
          <t>A. PENGADAAN KABEL LISTRIK NYY 3*2,5MM DARI ACPDB/DCPDB BOX KE MCB BOX 
  B. PENGADAAN NYY 3*2,5MM DARI MCB BOX MENUJU SOCKET POWER UNTUK RACK SERVER
  C. PENGADAAN NYY 3*2,5MM DARI MCB BOX MENUJU MESIN EDC JIKA DIBUTUHKAN</t>
        </is>
      </c>
      <c r="D870" s="35" t="inlineStr">
        <is>
          <t>Mtr</t>
        </is>
      </c>
      <c r="E870" s="37" t="n">
        <v>17900</v>
      </c>
      <c r="F870" s="42" t="n">
        <v>0</v>
      </c>
      <c r="G870" s="68" t="n"/>
      <c r="H870" s="68">
        <f>E870*G870</f>
        <v/>
      </c>
      <c r="I870" s="68">
        <f>F870*G870</f>
        <v/>
      </c>
      <c r="J870" s="68">
        <f>SUM(H870:I870)</f>
        <v/>
      </c>
      <c r="K870" s="43" t="n"/>
    </row>
    <row r="871" hidden="1" ht="87" customHeight="1">
      <c r="A871" s="35" t="n">
        <v>863</v>
      </c>
      <c r="B871" s="40" t="inlineStr">
        <is>
          <t>J-NYY- 3 X 2.5MM</t>
        </is>
      </c>
      <c r="C871" s="36" t="inlineStr">
        <is>
          <t>A. PENGADAAN KABEL LISTRIK NYY 3*2,5MM DARI ACPDB/DCPDB BOX KE MCB BOX 
  B. PENGADAAN NYY 3*2,5MM DARI MCB BOX MENUJU SOCKET POWER UNTUK RACK SERVER
  C. PENGADAAN NYY 3*2,5MM DARI MCB BOX MENUJU MESIN EDC JIKA DIBUTUHKAN</t>
        </is>
      </c>
      <c r="D871" s="35" t="inlineStr">
        <is>
          <t>Mtr</t>
        </is>
      </c>
      <c r="E871" s="42" t="n">
        <v>0</v>
      </c>
      <c r="F871" s="37" t="n">
        <v>3960</v>
      </c>
      <c r="G871" s="68" t="n"/>
      <c r="H871" s="68">
        <f>E871*G871</f>
        <v/>
      </c>
      <c r="I871" s="68">
        <f>F871*G871</f>
        <v/>
      </c>
      <c r="J871" s="68">
        <f>SUM(H871:I871)</f>
        <v/>
      </c>
      <c r="K871" s="43" t="n"/>
    </row>
    <row r="872" hidden="1" ht="29" customHeight="1">
      <c r="A872" s="35" t="n">
        <v>864</v>
      </c>
      <c r="B872" s="35" t="inlineStr">
        <is>
          <t>TRAY-BUNDLED-OUT-30</t>
        </is>
      </c>
      <c r="C872" s="36" t="inlineStr">
        <is>
          <t>TRAY CABLE FO CORD BUNDLED OUTDOOR 30X10 CM LENGKAP DENGAN PENGUAT</t>
        </is>
      </c>
      <c r="D872" s="35" t="inlineStr">
        <is>
          <t>Mtr</t>
        </is>
      </c>
      <c r="E872" s="37" t="n">
        <v>145750</v>
      </c>
      <c r="F872" s="37" t="n">
        <v>49500</v>
      </c>
      <c r="G872" s="68" t="n"/>
      <c r="H872" s="68">
        <f>E872*G872</f>
        <v/>
      </c>
      <c r="I872" s="68">
        <f>F872*G872</f>
        <v/>
      </c>
      <c r="J872" s="68">
        <f>SUM(H872:I872)</f>
        <v/>
      </c>
      <c r="K872" s="43" t="n"/>
    </row>
    <row r="873" hidden="1" ht="29" customHeight="1">
      <c r="A873" s="35" t="n">
        <v>865</v>
      </c>
      <c r="B873" s="40" t="inlineStr">
        <is>
          <t>M-TRAY-BUNDLED-OUT-30</t>
        </is>
      </c>
      <c r="C873" s="36" t="inlineStr">
        <is>
          <t>TRAY CABLE FO CORD BUNDLED OUTDOOR 30X10 CM LENGKAP DENGAN PENGUAT</t>
        </is>
      </c>
      <c r="D873" s="35" t="inlineStr">
        <is>
          <t>Mtr</t>
        </is>
      </c>
      <c r="E873" s="37" t="n">
        <v>145750</v>
      </c>
      <c r="F873" s="42" t="n">
        <v>0</v>
      </c>
      <c r="G873" s="68" t="n"/>
      <c r="H873" s="68">
        <f>E873*G873</f>
        <v/>
      </c>
      <c r="I873" s="68">
        <f>F873*G873</f>
        <v/>
      </c>
      <c r="J873" s="68">
        <f>SUM(H873:I873)</f>
        <v/>
      </c>
      <c r="K873" s="43" t="n"/>
    </row>
    <row r="874" hidden="1" ht="29" customHeight="1">
      <c r="A874" s="35" t="n">
        <v>866</v>
      </c>
      <c r="B874" s="40" t="inlineStr">
        <is>
          <t>J-TRAY-BUNDLED-OUT-30</t>
        </is>
      </c>
      <c r="C874" s="36" t="inlineStr">
        <is>
          <t>TRAY CABLE FO CORD BUNDLED OUTDOOR 30X10 CM LENGKAP DENGAN PENGUAT</t>
        </is>
      </c>
      <c r="D874" s="35" t="inlineStr">
        <is>
          <t>Mtr</t>
        </is>
      </c>
      <c r="E874" s="42" t="n">
        <v>0</v>
      </c>
      <c r="F874" s="37" t="n">
        <v>49500</v>
      </c>
      <c r="G874" s="68" t="n"/>
      <c r="H874" s="68">
        <f>E874*G874</f>
        <v/>
      </c>
      <c r="I874" s="68">
        <f>F874*G874</f>
        <v/>
      </c>
      <c r="J874" s="68">
        <f>SUM(H874:I874)</f>
        <v/>
      </c>
      <c r="K874" s="43" t="n"/>
    </row>
    <row r="875" hidden="1" ht="29" customHeight="1">
      <c r="A875" s="35" t="n">
        <v>867</v>
      </c>
      <c r="B875" s="35" t="inlineStr">
        <is>
          <t>TRAY-FEEDER-30</t>
        </is>
      </c>
      <c r="C875" s="36" t="inlineStr">
        <is>
          <t>TRAY CABLE FEEDER OUTDOOR 30X10 CM LENGKAP DENGAN PENGUAT</t>
        </is>
      </c>
      <c r="D875" s="35" t="inlineStr">
        <is>
          <t>Mtr</t>
        </is>
      </c>
      <c r="E875" s="37" t="n">
        <v>163350</v>
      </c>
      <c r="F875" s="37" t="n">
        <v>49500</v>
      </c>
      <c r="G875" s="68" t="n"/>
      <c r="H875" s="68">
        <f>E875*G875</f>
        <v/>
      </c>
      <c r="I875" s="68">
        <f>F875*G875</f>
        <v/>
      </c>
      <c r="J875" s="68">
        <f>SUM(H875:I875)</f>
        <v/>
      </c>
      <c r="K875" s="43" t="n"/>
    </row>
    <row r="876" hidden="1" ht="29" customHeight="1">
      <c r="A876" s="35" t="n">
        <v>868</v>
      </c>
      <c r="B876" s="40" t="inlineStr">
        <is>
          <t>M-TRAY-FEEDER-30</t>
        </is>
      </c>
      <c r="C876" s="36" t="inlineStr">
        <is>
          <t>TRAY CABLE FEEDER OUTDOOR 30X10 CM LENGKAP DENGAN PENGUAT</t>
        </is>
      </c>
      <c r="D876" s="35" t="inlineStr">
        <is>
          <t>Mtr</t>
        </is>
      </c>
      <c r="E876" s="37" t="n">
        <v>163350</v>
      </c>
      <c r="F876" s="42" t="n">
        <v>0</v>
      </c>
      <c r="G876" s="68" t="n"/>
      <c r="H876" s="68">
        <f>E876*G876</f>
        <v/>
      </c>
      <c r="I876" s="68">
        <f>F876*G876</f>
        <v/>
      </c>
      <c r="J876" s="68">
        <f>SUM(H876:I876)</f>
        <v/>
      </c>
      <c r="K876" s="43" t="n"/>
    </row>
    <row r="877" hidden="1" ht="29" customHeight="1">
      <c r="A877" s="35" t="n">
        <v>869</v>
      </c>
      <c r="B877" s="40" t="inlineStr">
        <is>
          <t>J-TRAY-FEEDER-30</t>
        </is>
      </c>
      <c r="C877" s="36" t="inlineStr">
        <is>
          <t>TRAY CABLE FEEDER OUTDOOR 30X10 CM LENGKAP DENGAN PENGUAT</t>
        </is>
      </c>
      <c r="D877" s="35" t="inlineStr">
        <is>
          <t>Mtr</t>
        </is>
      </c>
      <c r="E877" s="42" t="n">
        <v>0</v>
      </c>
      <c r="F877" s="37" t="n">
        <v>49500</v>
      </c>
      <c r="G877" s="68" t="n"/>
      <c r="H877" s="68">
        <f>E877*G877</f>
        <v/>
      </c>
      <c r="I877" s="68">
        <f>F877*G877</f>
        <v/>
      </c>
      <c r="J877" s="68">
        <f>SUM(H877:I877)</f>
        <v/>
      </c>
      <c r="K877" s="43" t="n"/>
    </row>
    <row r="878" hidden="1" ht="29" customHeight="1">
      <c r="A878" s="35" t="n">
        <v>870</v>
      </c>
      <c r="B878" s="35" t="inlineStr">
        <is>
          <t>TRAY-MESH-2</t>
        </is>
      </c>
      <c r="C878" s="36" t="inlineStr">
        <is>
          <t>WIRE MESH CABLE TRAY 20 X 10 CM, DENGAN SUPPORTING MATERIAL</t>
        </is>
      </c>
      <c r="D878" s="35" t="inlineStr">
        <is>
          <t>Mtr</t>
        </is>
      </c>
      <c r="E878" s="37" t="n">
        <v>73920</v>
      </c>
      <c r="F878" s="37" t="n">
        <v>46750</v>
      </c>
      <c r="G878" s="68" t="n"/>
      <c r="H878" s="68">
        <f>E878*G878</f>
        <v/>
      </c>
      <c r="I878" s="68">
        <f>F878*G878</f>
        <v/>
      </c>
      <c r="J878" s="68">
        <f>SUM(H878:I878)</f>
        <v/>
      </c>
      <c r="K878" s="43" t="n"/>
    </row>
    <row r="879" hidden="1" ht="29" customHeight="1">
      <c r="A879" s="35" t="n">
        <v>871</v>
      </c>
      <c r="B879" s="40" t="inlineStr">
        <is>
          <t>M-TRAY-MESH-2</t>
        </is>
      </c>
      <c r="C879" s="36" t="inlineStr">
        <is>
          <t>WIRE MESH CABLE TRAY 20 X 10 CM, DENGAN SUPPORTING MATERIAL</t>
        </is>
      </c>
      <c r="D879" s="35" t="inlineStr">
        <is>
          <t>Mtr</t>
        </is>
      </c>
      <c r="E879" s="37" t="n">
        <v>73920</v>
      </c>
      <c r="F879" s="42" t="n">
        <v>0</v>
      </c>
      <c r="G879" s="68" t="n"/>
      <c r="H879" s="68">
        <f>E879*G879</f>
        <v/>
      </c>
      <c r="I879" s="68">
        <f>F879*G879</f>
        <v/>
      </c>
      <c r="J879" s="68">
        <f>SUM(H879:I879)</f>
        <v/>
      </c>
      <c r="K879" s="43" t="n"/>
    </row>
    <row r="880" hidden="1" ht="29" customHeight="1">
      <c r="A880" s="35" t="n">
        <v>872</v>
      </c>
      <c r="B880" s="40" t="inlineStr">
        <is>
          <t>J-TRAY-MESH-2</t>
        </is>
      </c>
      <c r="C880" s="36" t="inlineStr">
        <is>
          <t>WIRE MESH CABLE TRAY 20 X 10 CM, DENGAN SUPPORTING MATERIAL</t>
        </is>
      </c>
      <c r="D880" s="35" t="inlineStr">
        <is>
          <t>Mtr</t>
        </is>
      </c>
      <c r="E880" s="42" t="n">
        <v>0</v>
      </c>
      <c r="F880" s="37" t="n">
        <v>46750</v>
      </c>
      <c r="G880" s="68" t="n"/>
      <c r="H880" s="68">
        <f>E880*G880</f>
        <v/>
      </c>
      <c r="I880" s="68">
        <f>F880*G880</f>
        <v/>
      </c>
      <c r="J880" s="68">
        <f>SUM(H880:I880)</f>
        <v/>
      </c>
      <c r="K880" s="43" t="n"/>
    </row>
    <row r="881" hidden="1" ht="29" customHeight="1">
      <c r="A881" s="35" t="n">
        <v>873</v>
      </c>
      <c r="B881" s="35" t="inlineStr">
        <is>
          <t>TRAY-MESH-3</t>
        </is>
      </c>
      <c r="C881" s="36" t="inlineStr">
        <is>
          <t>WIRE MESH CABLE TRAY 30 X 10 CM, DENGAN SUPPORTING MATERIAL</t>
        </is>
      </c>
      <c r="D881" s="35" t="inlineStr">
        <is>
          <t>Mtr</t>
        </is>
      </c>
      <c r="E881" s="37" t="n">
        <v>108900</v>
      </c>
      <c r="F881" s="37" t="n">
        <v>46750</v>
      </c>
      <c r="G881" s="68" t="n"/>
      <c r="H881" s="68">
        <f>E881*G881</f>
        <v/>
      </c>
      <c r="I881" s="68">
        <f>F881*G881</f>
        <v/>
      </c>
      <c r="J881" s="68">
        <f>SUM(H881:I881)</f>
        <v/>
      </c>
      <c r="K881" s="43" t="n"/>
    </row>
    <row r="882" hidden="1" ht="29" customHeight="1">
      <c r="A882" s="35" t="n">
        <v>874</v>
      </c>
      <c r="B882" s="40" t="inlineStr">
        <is>
          <t>M-TRAY-MESH-3</t>
        </is>
      </c>
      <c r="C882" s="36" t="inlineStr">
        <is>
          <t>WIRE MESH CABLE TRAY 30 X 10 CM, DENGAN SUPPORTING MATERIAL</t>
        </is>
      </c>
      <c r="D882" s="35" t="inlineStr">
        <is>
          <t>Mtr</t>
        </is>
      </c>
      <c r="E882" s="37" t="n">
        <v>108900</v>
      </c>
      <c r="F882" s="42" t="n">
        <v>0</v>
      </c>
      <c r="G882" s="68" t="n"/>
      <c r="H882" s="68">
        <f>E882*G882</f>
        <v/>
      </c>
      <c r="I882" s="68">
        <f>F882*G882</f>
        <v/>
      </c>
      <c r="J882" s="68">
        <f>SUM(H882:I882)</f>
        <v/>
      </c>
      <c r="K882" s="43" t="n"/>
    </row>
    <row r="883" hidden="1" ht="29" customHeight="1">
      <c r="A883" s="35" t="n">
        <v>875</v>
      </c>
      <c r="B883" s="40" t="inlineStr">
        <is>
          <t>J-TRAY-MESH-3</t>
        </is>
      </c>
      <c r="C883" s="36" t="inlineStr">
        <is>
          <t>WIRE MESH CABLE TRAY 30 X 10 CM, DENGAN SUPPORTING MATERIAL</t>
        </is>
      </c>
      <c r="D883" s="35" t="inlineStr">
        <is>
          <t>Mtr</t>
        </is>
      </c>
      <c r="E883" s="42" t="n">
        <v>0</v>
      </c>
      <c r="F883" s="37" t="n">
        <v>46750</v>
      </c>
      <c r="G883" s="68" t="n"/>
      <c r="H883" s="68">
        <f>E883*G883</f>
        <v/>
      </c>
      <c r="I883" s="68">
        <f>F883*G883</f>
        <v/>
      </c>
      <c r="J883" s="68">
        <f>SUM(H883:I883)</f>
        <v/>
      </c>
      <c r="K883" s="43" t="n"/>
    </row>
    <row r="884" hidden="1" ht="29" customHeight="1">
      <c r="A884" s="35" t="n">
        <v>876</v>
      </c>
      <c r="B884" s="35" t="inlineStr">
        <is>
          <t>VSS-90-2</t>
        </is>
      </c>
      <c r="C884" s="36" t="inlineStr">
        <is>
          <t>VERTICAL SUPPORT STRUCTURE ROD (2M) MAKSIMAL SEPASANG (KIRI-KANAN), DENGAN KIT INSTALASI (TIAP 90CM)</t>
        </is>
      </c>
      <c r="D884" s="35" t="inlineStr">
        <is>
          <t>Set</t>
        </is>
      </c>
      <c r="E884" s="37" t="n">
        <v>80080</v>
      </c>
      <c r="F884" s="37" t="n">
        <v>46750</v>
      </c>
      <c r="G884" s="68" t="n"/>
      <c r="H884" s="68">
        <f>E884*G884</f>
        <v/>
      </c>
      <c r="I884" s="68">
        <f>F884*G884</f>
        <v/>
      </c>
      <c r="J884" s="68">
        <f>SUM(H884:I884)</f>
        <v/>
      </c>
      <c r="K884" s="43" t="n"/>
    </row>
    <row r="885" hidden="1" ht="29" customHeight="1">
      <c r="A885" s="35" t="n">
        <v>877</v>
      </c>
      <c r="B885" s="40" t="inlineStr">
        <is>
          <t>M-VSS-90-2</t>
        </is>
      </c>
      <c r="C885" s="36" t="inlineStr">
        <is>
          <t>VERTICAL SUPPORT STRUCTURE ROD (2M) MAKSIMAL SEPASANG (KIRI-KANAN), DENGAN KIT INSTALASI (TIAP 90CM)</t>
        </is>
      </c>
      <c r="D885" s="35" t="inlineStr">
        <is>
          <t>Set</t>
        </is>
      </c>
      <c r="E885" s="37" t="n">
        <v>80080</v>
      </c>
      <c r="F885" s="42" t="n">
        <v>0</v>
      </c>
      <c r="G885" s="68" t="n"/>
      <c r="H885" s="68">
        <f>E885*G885</f>
        <v/>
      </c>
      <c r="I885" s="68">
        <f>F885*G885</f>
        <v/>
      </c>
      <c r="J885" s="68">
        <f>SUM(H885:I885)</f>
        <v/>
      </c>
      <c r="K885" s="43" t="n"/>
    </row>
    <row r="886" hidden="1" ht="29" customHeight="1">
      <c r="A886" s="35" t="n">
        <v>878</v>
      </c>
      <c r="B886" s="40" t="inlineStr">
        <is>
          <t>J-VSS-90-2</t>
        </is>
      </c>
      <c r="C886" s="36" t="inlineStr">
        <is>
          <t>VERTICAL SUPPORT STRUCTURE ROD (2M) MAKSIMAL SEPASANG (KIRI-KANAN), DENGAN KIT INSTALASI (TIAP 90CM)</t>
        </is>
      </c>
      <c r="D886" s="35" t="inlineStr">
        <is>
          <t>Set</t>
        </is>
      </c>
      <c r="E886" s="42" t="n">
        <v>0</v>
      </c>
      <c r="F886" s="37" t="n">
        <v>46750</v>
      </c>
      <c r="G886" s="68" t="n"/>
      <c r="H886" s="68">
        <f>E886*G886</f>
        <v/>
      </c>
      <c r="I886" s="68">
        <f>F886*G886</f>
        <v/>
      </c>
      <c r="J886" s="68">
        <f>SUM(H886:I886)</f>
        <v/>
      </c>
      <c r="K886" s="43" t="n"/>
    </row>
    <row r="887" hidden="1" ht="58" customHeight="1">
      <c r="A887" s="35" t="n">
        <v>879</v>
      </c>
      <c r="B887" s="35" t="inlineStr">
        <is>
          <t>PONDASI-TYPE-D500</t>
        </is>
      </c>
      <c r="C887" s="36" t="inlineStr">
        <is>
          <t>PENGADAAN DAN PEMASANGAN PONDASI UNTUK KABINET OUTDOOR BESAR, SIDE WALK DAN PATOK PENGAMAN MENGACU PPJT JARLOKAT DAN SISTEM GROUNDING UNTUK PERANGKAT DAN SEALED MATERIAL (MAX. 1 OHM)</t>
        </is>
      </c>
      <c r="D887" s="35" t="inlineStr">
        <is>
          <t>Pcs</t>
        </is>
      </c>
      <c r="E887" s="37" t="n">
        <v>7114090</v>
      </c>
      <c r="F887" s="37" t="n">
        <v>1705500</v>
      </c>
      <c r="G887" s="68" t="n"/>
      <c r="H887" s="68">
        <f>E887*G887</f>
        <v/>
      </c>
      <c r="I887" s="68">
        <f>F887*G887</f>
        <v/>
      </c>
      <c r="J887" s="68">
        <f>SUM(H887:I887)</f>
        <v/>
      </c>
      <c r="K887" s="43" t="n"/>
    </row>
    <row r="888" hidden="1" ht="58" customHeight="1">
      <c r="A888" s="35" t="n">
        <v>880</v>
      </c>
      <c r="B888" s="40" t="inlineStr">
        <is>
          <t>M-PONDASI-TYPE-D500</t>
        </is>
      </c>
      <c r="C888" s="36" t="inlineStr">
        <is>
          <t>PENGADAAN DAN PEMASANGAN PONDASI UNTUK KABINET OUTDOOR BESAR, SIDE WALK DAN PATOK PENGAMAN MENGACU PPJT JARLOKAT DAN SISTEM GROUNDING UNTUK PERANGKAT DAN SEALED MATERIAL (MAX. 1 OHM)</t>
        </is>
      </c>
      <c r="D888" s="35" t="inlineStr">
        <is>
          <t>Pcs</t>
        </is>
      </c>
      <c r="E888" s="37" t="n">
        <v>7114090</v>
      </c>
      <c r="F888" s="42" t="n">
        <v>0</v>
      </c>
      <c r="G888" s="68" t="n"/>
      <c r="H888" s="68">
        <f>E888*G888</f>
        <v/>
      </c>
      <c r="I888" s="68">
        <f>F888*G888</f>
        <v/>
      </c>
      <c r="J888" s="68">
        <f>SUM(H888:I888)</f>
        <v/>
      </c>
      <c r="K888" s="43" t="n"/>
    </row>
    <row r="889" hidden="1" ht="58" customHeight="1">
      <c r="A889" s="35" t="n">
        <v>881</v>
      </c>
      <c r="B889" s="40" t="inlineStr">
        <is>
          <t>J-PONDASI-TYPE-D500</t>
        </is>
      </c>
      <c r="C889" s="36" t="inlineStr">
        <is>
          <t>PENGADAAN DAN PEMASANGAN PONDASI UNTUK KABINET OUTDOOR BESAR, SIDE WALK DAN PATOK PENGAMAN MENGACU PPJT JARLOKAT DAN SISTEM GROUNDING UNTUK PERANGKAT DAN SEALED MATERIAL (MAX. 1 OHM)</t>
        </is>
      </c>
      <c r="D889" s="35" t="inlineStr">
        <is>
          <t>Pcs</t>
        </is>
      </c>
      <c r="E889" s="42" t="n">
        <v>0</v>
      </c>
      <c r="F889" s="37" t="n">
        <v>1705500</v>
      </c>
      <c r="G889" s="68" t="n"/>
      <c r="H889" s="68">
        <f>E889*G889</f>
        <v/>
      </c>
      <c r="I889" s="68">
        <f>F889*G889</f>
        <v/>
      </c>
      <c r="J889" s="68">
        <f>SUM(H889:I889)</f>
        <v/>
      </c>
      <c r="K889" s="43" t="n"/>
    </row>
    <row r="890" hidden="1" ht="14.5" customHeight="1">
      <c r="A890" s="35" t="n">
        <v>882</v>
      </c>
      <c r="B890" s="35" t="inlineStr">
        <is>
          <t>ADAPT-SPRING</t>
        </is>
      </c>
      <c r="C890" s="36" t="inlineStr">
        <is>
          <t>ADAPTER SPRING</t>
        </is>
      </c>
      <c r="D890" s="35" t="inlineStr">
        <is>
          <t>Bh</t>
        </is>
      </c>
      <c r="E890" s="37" t="n">
        <v>6660</v>
      </c>
      <c r="F890" s="37" t="n">
        <v>1360</v>
      </c>
      <c r="G890" s="68" t="n"/>
      <c r="H890" s="68">
        <f>E890*G890</f>
        <v/>
      </c>
      <c r="I890" s="68">
        <f>F890*G890</f>
        <v/>
      </c>
      <c r="J890" s="68">
        <f>SUM(H890:I890)</f>
        <v/>
      </c>
      <c r="K890" s="43" t="n"/>
    </row>
    <row r="891" hidden="1" ht="14.5" customHeight="1">
      <c r="A891" s="35" t="n">
        <v>883</v>
      </c>
      <c r="B891" s="40" t="inlineStr">
        <is>
          <t>M-ADAPT-SPRING</t>
        </is>
      </c>
      <c r="C891" s="36" t="inlineStr">
        <is>
          <t>ADAPTER SPRING</t>
        </is>
      </c>
      <c r="D891" s="35" t="inlineStr">
        <is>
          <t>Bh</t>
        </is>
      </c>
      <c r="E891" s="37" t="n">
        <v>6660</v>
      </c>
      <c r="F891" s="42" t="n">
        <v>0</v>
      </c>
      <c r="G891" s="68" t="n"/>
      <c r="H891" s="68">
        <f>E891*G891</f>
        <v/>
      </c>
      <c r="I891" s="68">
        <f>F891*G891</f>
        <v/>
      </c>
      <c r="J891" s="68">
        <f>SUM(H891:I891)</f>
        <v/>
      </c>
      <c r="K891" s="43" t="n"/>
    </row>
    <row r="892" hidden="1" ht="14.5" customHeight="1">
      <c r="A892" s="35" t="n">
        <v>884</v>
      </c>
      <c r="B892" s="40" t="inlineStr">
        <is>
          <t>J-ADAPT-SPRING</t>
        </is>
      </c>
      <c r="C892" s="36" t="inlineStr">
        <is>
          <t>ADAPTER SPRING</t>
        </is>
      </c>
      <c r="D892" s="35" t="inlineStr">
        <is>
          <t>Bh</t>
        </is>
      </c>
      <c r="E892" s="42" t="n">
        <v>0</v>
      </c>
      <c r="F892" s="37" t="n">
        <v>1360</v>
      </c>
      <c r="G892" s="68" t="n"/>
      <c r="H892" s="68">
        <f>E892*G892</f>
        <v/>
      </c>
      <c r="I892" s="68">
        <f>F892*G892</f>
        <v/>
      </c>
      <c r="J892" s="68">
        <f>SUM(H892:I892)</f>
        <v/>
      </c>
      <c r="K892" s="43" t="n"/>
    </row>
    <row r="893" hidden="1" ht="29" customHeight="1">
      <c r="A893" s="35" t="n">
        <v>885</v>
      </c>
      <c r="B893" s="35" t="inlineStr">
        <is>
          <t>OTP</t>
        </is>
      </c>
      <c r="C893" s="36" t="inlineStr">
        <is>
          <t>PENGADAAN DAN PEMASANGAN OPTICAL TERMINATION POINT 1 CORE</t>
        </is>
      </c>
      <c r="D893" s="35" t="inlineStr">
        <is>
          <t>Pcs</t>
        </is>
      </c>
      <c r="E893" s="37" t="n">
        <v>21384</v>
      </c>
      <c r="F893" s="37" t="n">
        <v>8554</v>
      </c>
      <c r="G893" s="68" t="n"/>
      <c r="H893" s="68">
        <f>E893*G893</f>
        <v/>
      </c>
      <c r="I893" s="68">
        <f>F893*G893</f>
        <v/>
      </c>
      <c r="J893" s="68">
        <f>SUM(H893:I893)</f>
        <v/>
      </c>
      <c r="K893" s="43" t="n"/>
    </row>
    <row r="894" hidden="1" ht="29" customHeight="1">
      <c r="A894" s="35" t="n">
        <v>886</v>
      </c>
      <c r="B894" s="40" t="inlineStr">
        <is>
          <t>M-OTP</t>
        </is>
      </c>
      <c r="C894" s="36" t="inlineStr">
        <is>
          <t>PENGADAAN DAN PEMASANGAN OPTICAL TERMINATION POINT 1 CORE</t>
        </is>
      </c>
      <c r="D894" s="35" t="inlineStr">
        <is>
          <t>Pcs</t>
        </is>
      </c>
      <c r="E894" s="37" t="n">
        <v>21384</v>
      </c>
      <c r="F894" s="42" t="n">
        <v>0</v>
      </c>
      <c r="G894" s="68" t="n"/>
      <c r="H894" s="68">
        <f>E894*G894</f>
        <v/>
      </c>
      <c r="I894" s="68">
        <f>F894*G894</f>
        <v/>
      </c>
      <c r="J894" s="68">
        <f>SUM(H894:I894)</f>
        <v/>
      </c>
      <c r="K894" s="43" t="n"/>
    </row>
    <row r="895" hidden="1" ht="29" customHeight="1">
      <c r="A895" s="35" t="n">
        <v>887</v>
      </c>
      <c r="B895" s="40" t="inlineStr">
        <is>
          <t>J-OTP</t>
        </is>
      </c>
      <c r="C895" s="36" t="inlineStr">
        <is>
          <t>PENGADAAN DAN PEMASANGAN OPTICAL TERMINATION POINT 1 CORE</t>
        </is>
      </c>
      <c r="D895" s="35" t="inlineStr">
        <is>
          <t>Pcs</t>
        </is>
      </c>
      <c r="E895" s="42" t="n">
        <v>0</v>
      </c>
      <c r="F895" s="37" t="n">
        <v>8554</v>
      </c>
      <c r="G895" s="68" t="n"/>
      <c r="H895" s="68">
        <f>E895*G895</f>
        <v/>
      </c>
      <c r="I895" s="68">
        <f>F895*G895</f>
        <v/>
      </c>
      <c r="J895" s="68">
        <f>SUM(H895:I895)</f>
        <v/>
      </c>
      <c r="K895" s="43" t="n"/>
    </row>
    <row r="896" hidden="1" ht="14.5" customHeight="1">
      <c r="A896" s="35" t="n">
        <v>888</v>
      </c>
      <c r="B896" s="35" t="inlineStr">
        <is>
          <t>H-CLAMP</t>
        </is>
      </c>
      <c r="C896" s="36" t="inlineStr">
        <is>
          <t>PENGADAAN DAN PEMASANGAN AKSESORIS TIANG HOSE CLAMP</t>
        </is>
      </c>
      <c r="D896" s="35" t="inlineStr">
        <is>
          <t>Pcs</t>
        </is>
      </c>
      <c r="E896" s="37" t="n">
        <v>50600</v>
      </c>
      <c r="F896" s="37" t="n">
        <v>13200</v>
      </c>
      <c r="G896" s="68" t="n"/>
      <c r="H896" s="68">
        <f>E896*G896</f>
        <v/>
      </c>
      <c r="I896" s="68">
        <f>F896*G896</f>
        <v/>
      </c>
      <c r="J896" s="68">
        <f>SUM(H896:I896)</f>
        <v/>
      </c>
      <c r="K896" s="43" t="n"/>
    </row>
    <row r="897" hidden="1" ht="14.5" customHeight="1">
      <c r="A897" s="35" t="n">
        <v>889</v>
      </c>
      <c r="B897" s="40" t="inlineStr">
        <is>
          <t>M-H-CLAMP</t>
        </is>
      </c>
      <c r="C897" s="36" t="inlineStr">
        <is>
          <t>PENGADAAN DAN PEMASANGAN AKSESORIS TIANG HOSE CLAMP</t>
        </is>
      </c>
      <c r="D897" s="35" t="inlineStr">
        <is>
          <t>Pcs</t>
        </is>
      </c>
      <c r="E897" s="37" t="n">
        <v>50600</v>
      </c>
      <c r="F897" s="42" t="n">
        <v>0</v>
      </c>
      <c r="G897" s="68" t="n"/>
      <c r="H897" s="68">
        <f>E897*G897</f>
        <v/>
      </c>
      <c r="I897" s="68">
        <f>F897*G897</f>
        <v/>
      </c>
      <c r="J897" s="68">
        <f>SUM(H897:I897)</f>
        <v/>
      </c>
      <c r="K897" s="43" t="n"/>
    </row>
    <row r="898" hidden="1" ht="14.5" customHeight="1">
      <c r="A898" s="35" t="n">
        <v>890</v>
      </c>
      <c r="B898" s="40" t="inlineStr">
        <is>
          <t>J-H-CLAMP</t>
        </is>
      </c>
      <c r="C898" s="36" t="inlineStr">
        <is>
          <t>PENGADAAN DAN PEMASANGAN AKSESORIS TIANG HOSE CLAMP</t>
        </is>
      </c>
      <c r="D898" s="35" t="inlineStr">
        <is>
          <t>Pcs</t>
        </is>
      </c>
      <c r="E898" s="42" t="n">
        <v>0</v>
      </c>
      <c r="F898" s="37" t="n">
        <v>13200</v>
      </c>
      <c r="G898" s="68" t="n"/>
      <c r="H898" s="68">
        <f>E898*G898</f>
        <v/>
      </c>
      <c r="I898" s="68">
        <f>F898*G898</f>
        <v/>
      </c>
      <c r="J898" s="68">
        <f>SUM(H898:I898)</f>
        <v/>
      </c>
      <c r="K898" s="43" t="n"/>
    </row>
    <row r="899" hidden="1" ht="14.5" customHeight="1">
      <c r="A899" s="35" t="n">
        <v>891</v>
      </c>
      <c r="B899" s="35" t="inlineStr">
        <is>
          <t>DC-SOC</t>
        </is>
      </c>
      <c r="C899" s="36" t="inlineStr">
        <is>
          <t>Pengadaan dan Pemasangan Adaptor Splice On Connector (SOC)</t>
        </is>
      </c>
      <c r="D899" s="35" t="inlineStr">
        <is>
          <t>pcs</t>
        </is>
      </c>
      <c r="E899" s="37" t="n">
        <v>35200</v>
      </c>
      <c r="F899" s="37" t="n">
        <v>49802</v>
      </c>
      <c r="G899" s="68" t="n"/>
      <c r="H899" s="68">
        <f>E899*G899</f>
        <v/>
      </c>
      <c r="I899" s="68">
        <f>F899*G899</f>
        <v/>
      </c>
      <c r="J899" s="68">
        <f>SUM(H899:I899)</f>
        <v/>
      </c>
      <c r="K899" s="43" t="n"/>
    </row>
    <row r="900" hidden="1" ht="14.5" customHeight="1">
      <c r="A900" s="35" t="n">
        <v>892</v>
      </c>
      <c r="B900" s="40" t="inlineStr">
        <is>
          <t>M-DC-SOC</t>
        </is>
      </c>
      <c r="C900" s="36" t="inlineStr">
        <is>
          <t>Pengadaan dan Pemasangan Adaptor Splice On Connector (SOC)</t>
        </is>
      </c>
      <c r="D900" s="35" t="inlineStr">
        <is>
          <t>pcs</t>
        </is>
      </c>
      <c r="E900" s="37" t="n">
        <v>35200</v>
      </c>
      <c r="F900" s="42" t="n">
        <v>0</v>
      </c>
      <c r="G900" s="68" t="n"/>
      <c r="H900" s="68">
        <f>E900*G900</f>
        <v/>
      </c>
      <c r="I900" s="68">
        <f>F900*G900</f>
        <v/>
      </c>
      <c r="J900" s="68">
        <f>SUM(H900:I900)</f>
        <v/>
      </c>
      <c r="K900" s="43" t="n"/>
    </row>
    <row r="901" hidden="1" ht="14.5" customHeight="1">
      <c r="A901" s="35" t="n">
        <v>893</v>
      </c>
      <c r="B901" s="40" t="inlineStr">
        <is>
          <t>J-DC-SOC</t>
        </is>
      </c>
      <c r="C901" s="36" t="inlineStr">
        <is>
          <t>Pengadaan dan Pemasangan Adaptor Splice On Connector (SOC)</t>
        </is>
      </c>
      <c r="D901" s="35" t="inlineStr">
        <is>
          <t>pcs</t>
        </is>
      </c>
      <c r="E901" s="42" t="n">
        <v>0</v>
      </c>
      <c r="F901" s="37" t="n">
        <v>49802</v>
      </c>
      <c r="G901" s="68" t="n"/>
      <c r="H901" s="68">
        <f>E901*G901</f>
        <v/>
      </c>
      <c r="I901" s="68">
        <f>F901*G901</f>
        <v/>
      </c>
      <c r="J901" s="68">
        <f>SUM(H901:I901)</f>
        <v/>
      </c>
      <c r="K901" s="43" t="n"/>
    </row>
    <row r="902" hidden="1" ht="29" customHeight="1">
      <c r="A902" s="35" t="n">
        <v>894</v>
      </c>
      <c r="B902" s="35" t="inlineStr">
        <is>
          <t>PR-IN-RS</t>
        </is>
      </c>
      <c r="C902" s="36" t="inlineStr">
        <is>
          <t>Pengadaaan dan Pemasangan Precon KSO Indoor Transparant Sudah Termasuk Roset</t>
        </is>
      </c>
      <c r="D902" s="35" t="inlineStr">
        <is>
          <t>set</t>
        </is>
      </c>
      <c r="E902" s="37" t="n">
        <v>86900</v>
      </c>
      <c r="F902" s="37" t="n">
        <v>32780</v>
      </c>
      <c r="G902" s="68" t="n"/>
      <c r="H902" s="68">
        <f>E902*G902</f>
        <v/>
      </c>
      <c r="I902" s="68">
        <f>F902*G902</f>
        <v/>
      </c>
      <c r="J902" s="68">
        <f>SUM(H902:I902)</f>
        <v/>
      </c>
      <c r="K902" s="43" t="n"/>
    </row>
    <row r="903" hidden="1" ht="29" customHeight="1">
      <c r="A903" s="35" t="n">
        <v>895</v>
      </c>
      <c r="B903" s="40" t="inlineStr">
        <is>
          <t>M-PR-IN-RS</t>
        </is>
      </c>
      <c r="C903" s="36" t="inlineStr">
        <is>
          <t>Pengadaaan dan Pemasangan Precon KSO Indoor Transparant Sudah Termasuk Roset</t>
        </is>
      </c>
      <c r="D903" s="35" t="inlineStr">
        <is>
          <t>set</t>
        </is>
      </c>
      <c r="E903" s="37" t="n">
        <v>86900</v>
      </c>
      <c r="F903" s="42" t="n">
        <v>0</v>
      </c>
      <c r="G903" s="68" t="n"/>
      <c r="H903" s="68">
        <f>E903*G903</f>
        <v/>
      </c>
      <c r="I903" s="68">
        <f>F903*G903</f>
        <v/>
      </c>
      <c r="J903" s="68">
        <f>SUM(H903:I903)</f>
        <v/>
      </c>
      <c r="K903" s="43" t="n"/>
    </row>
    <row r="904" hidden="1" ht="29" customHeight="1">
      <c r="A904" s="35" t="n">
        <v>896</v>
      </c>
      <c r="B904" s="40" t="inlineStr">
        <is>
          <t>J-PR-IN-RS</t>
        </is>
      </c>
      <c r="C904" s="36" t="inlineStr">
        <is>
          <t>Pengadaaan dan Pemasangan Precon KSO Indoor Transparant Sudah Termasuk Roset</t>
        </is>
      </c>
      <c r="D904" s="35" t="inlineStr">
        <is>
          <t>set</t>
        </is>
      </c>
      <c r="E904" s="42" t="n">
        <v>0</v>
      </c>
      <c r="F904" s="37" t="n">
        <v>32780</v>
      </c>
      <c r="G904" s="68" t="n"/>
      <c r="H904" s="68">
        <f>E904*G904</f>
        <v/>
      </c>
      <c r="I904" s="68">
        <f>F904*G904</f>
        <v/>
      </c>
      <c r="J904" s="68">
        <f>SUM(H904:I904)</f>
        <v/>
      </c>
      <c r="K904" s="43" t="n"/>
    </row>
    <row r="905" hidden="1" ht="14.5" customHeight="1">
      <c r="A905" s="35" t="n">
        <v>897</v>
      </c>
      <c r="B905" s="35" t="inlineStr">
        <is>
          <t>BKR-DC</t>
        </is>
      </c>
      <c r="C905" s="36" t="inlineStr">
        <is>
          <t>PEMBONGKARAN DROP CORE</t>
        </is>
      </c>
      <c r="D905" s="35" t="inlineStr">
        <is>
          <t>Mtr</t>
        </is>
      </c>
      <c r="E905" s="37" t="n">
        <v>0</v>
      </c>
      <c r="F905" s="37" t="n">
        <v>310</v>
      </c>
      <c r="G905" s="68" t="n"/>
      <c r="H905" s="68">
        <f>E905*G905</f>
        <v/>
      </c>
      <c r="I905" s="68">
        <f>F905*G905</f>
        <v/>
      </c>
      <c r="J905" s="68">
        <f>SUM(H905:I905)</f>
        <v/>
      </c>
      <c r="K905" s="43" t="n"/>
    </row>
    <row r="906" hidden="1" ht="14.5" customHeight="1">
      <c r="A906" s="35" t="n">
        <v>898</v>
      </c>
      <c r="B906" s="40" t="inlineStr">
        <is>
          <t>J-BKR-DC</t>
        </is>
      </c>
      <c r="C906" s="36" t="inlineStr">
        <is>
          <t>PEMBONGKARAN DROP CORE</t>
        </is>
      </c>
      <c r="D906" s="35" t="inlineStr">
        <is>
          <t>Mtr</t>
        </is>
      </c>
      <c r="E906" s="42" t="n">
        <v>0</v>
      </c>
      <c r="F906" s="37" t="n">
        <v>310</v>
      </c>
      <c r="G906" s="68" t="n"/>
      <c r="H906" s="68">
        <f>E906*G906</f>
        <v/>
      </c>
      <c r="I906" s="68">
        <f>F906*G906</f>
        <v/>
      </c>
      <c r="J906" s="68">
        <f>SUM(H906:I906)</f>
        <v/>
      </c>
      <c r="K906" s="43" t="n"/>
    </row>
    <row r="907" hidden="1" ht="14.5" customHeight="1">
      <c r="A907" s="35" t="n">
        <v>899</v>
      </c>
      <c r="B907" s="35" t="inlineStr">
        <is>
          <t>RGL-DC</t>
        </is>
      </c>
      <c r="C907" s="36" t="inlineStr">
        <is>
          <t>REGEL DROP CORE</t>
        </is>
      </c>
      <c r="D907" s="35" t="inlineStr">
        <is>
          <t>Mtr</t>
        </is>
      </c>
      <c r="E907" s="37" t="n">
        <v>0</v>
      </c>
      <c r="F907" s="37" t="n">
        <v>310</v>
      </c>
      <c r="G907" s="68" t="n"/>
      <c r="H907" s="68">
        <f>E907*G907</f>
        <v/>
      </c>
      <c r="I907" s="68">
        <f>F907*G907</f>
        <v/>
      </c>
      <c r="J907" s="68">
        <f>SUM(H907:I907)</f>
        <v/>
      </c>
      <c r="K907" s="43" t="n"/>
    </row>
    <row r="908" hidden="1" ht="14.5" customHeight="1">
      <c r="A908" s="35" t="n">
        <v>900</v>
      </c>
      <c r="B908" s="40" t="inlineStr">
        <is>
          <t>J-RGL-DC</t>
        </is>
      </c>
      <c r="C908" s="36" t="inlineStr">
        <is>
          <t>REGEL DROP CORE</t>
        </is>
      </c>
      <c r="D908" s="35" t="inlineStr">
        <is>
          <t>Mtr</t>
        </is>
      </c>
      <c r="E908" s="42" t="n">
        <v>0</v>
      </c>
      <c r="F908" s="37" t="n">
        <v>310</v>
      </c>
      <c r="G908" s="68" t="n"/>
      <c r="H908" s="68">
        <f>E908*G908</f>
        <v/>
      </c>
      <c r="I908" s="68">
        <f>F908*G908</f>
        <v/>
      </c>
      <c r="J908" s="68">
        <f>SUM(H908:I908)</f>
        <v/>
      </c>
      <c r="K908" s="43" t="n"/>
    </row>
    <row r="909" hidden="1" ht="14.5" customHeight="1">
      <c r="A909" s="35" t="n">
        <v>901</v>
      </c>
      <c r="B909" s="35" t="inlineStr">
        <is>
          <t>BKR-RK</t>
        </is>
      </c>
      <c r="C909" s="36" t="inlineStr">
        <is>
          <t>PEMBONGKARAN RUMAH KABEL BERIKUT PATOK PENGAMAN</t>
        </is>
      </c>
      <c r="D909" s="35" t="inlineStr">
        <is>
          <t>Unit</t>
        </is>
      </c>
      <c r="E909" s="37" t="n">
        <v>0</v>
      </c>
      <c r="F909" s="37" t="n">
        <v>154500</v>
      </c>
      <c r="G909" s="68" t="n"/>
      <c r="H909" s="68">
        <f>E909*G909</f>
        <v/>
      </c>
      <c r="I909" s="68">
        <f>F909*G909</f>
        <v/>
      </c>
      <c r="J909" s="68">
        <f>SUM(H909:I909)</f>
        <v/>
      </c>
      <c r="K909" s="43" t="n"/>
    </row>
    <row r="910" hidden="1" ht="14.5" customHeight="1">
      <c r="A910" s="35" t="n">
        <v>902</v>
      </c>
      <c r="B910" s="40" t="inlineStr">
        <is>
          <t>J-BKR-RK</t>
        </is>
      </c>
      <c r="C910" s="36" t="inlineStr">
        <is>
          <t>PEMBONGKARAN RUMAH KABEL BERIKUT PATOK PENGAMAN</t>
        </is>
      </c>
      <c r="D910" s="35" t="inlineStr">
        <is>
          <t>Unit</t>
        </is>
      </c>
      <c r="E910" s="42" t="n">
        <v>0</v>
      </c>
      <c r="F910" s="37" t="n">
        <v>154500</v>
      </c>
      <c r="G910" s="68" t="n"/>
      <c r="H910" s="68">
        <f>E910*G910</f>
        <v/>
      </c>
      <c r="I910" s="68">
        <f>F910*G910</f>
        <v/>
      </c>
      <c r="J910" s="68">
        <f>SUM(H910:I910)</f>
        <v/>
      </c>
      <c r="K910" s="43" t="n"/>
    </row>
    <row r="911" hidden="1" ht="14.5" customHeight="1">
      <c r="A911" s="35" t="n">
        <v>903</v>
      </c>
      <c r="B911" s="35" t="inlineStr">
        <is>
          <t>P-PK-RK</t>
        </is>
      </c>
      <c r="C911" s="36" t="inlineStr">
        <is>
          <t>PERBAIKAN PONDASI DAN KERAMIK YANG RUSAK DI RK</t>
        </is>
      </c>
      <c r="D911" s="35" t="inlineStr">
        <is>
          <t>Bh</t>
        </is>
      </c>
      <c r="E911" s="37" t="n">
        <v>0</v>
      </c>
      <c r="F911" s="37" t="n">
        <v>572040</v>
      </c>
      <c r="G911" s="68" t="n"/>
      <c r="H911" s="68">
        <f>E911*G911</f>
        <v/>
      </c>
      <c r="I911" s="68">
        <f>F911*G911</f>
        <v/>
      </c>
      <c r="J911" s="68">
        <f>SUM(H911:I911)</f>
        <v/>
      </c>
      <c r="K911" s="43" t="n"/>
    </row>
    <row r="912" hidden="1" ht="14.5" customHeight="1">
      <c r="A912" s="35" t="n">
        <v>904</v>
      </c>
      <c r="B912" s="40" t="inlineStr">
        <is>
          <t>J-P-PK-RK</t>
        </is>
      </c>
      <c r="C912" s="36" t="inlineStr">
        <is>
          <t>PERBAIKAN PONDASI DAN KERAMIK YANG RUSAK DI RK</t>
        </is>
      </c>
      <c r="D912" s="35" t="inlineStr">
        <is>
          <t>Bh</t>
        </is>
      </c>
      <c r="E912" s="42" t="n">
        <v>0</v>
      </c>
      <c r="F912" s="37" t="n">
        <v>572040</v>
      </c>
      <c r="G912" s="68" t="n"/>
      <c r="H912" s="68">
        <f>E912*G912</f>
        <v/>
      </c>
      <c r="I912" s="68">
        <f>F912*G912</f>
        <v/>
      </c>
      <c r="J912" s="68">
        <f>SUM(H912:I912)</f>
        <v/>
      </c>
      <c r="K912" s="43" t="n"/>
    </row>
    <row r="913" hidden="1" ht="14.5" customHeight="1">
      <c r="A913" s="35" t="n">
        <v>905</v>
      </c>
      <c r="B913" s="35" t="inlineStr">
        <is>
          <t>P-KB</t>
        </is>
      </c>
      <c r="C913" s="36" t="inlineStr">
        <is>
          <t>PEMBERSIHAN KABINET TERMASUK MODUL DAN PERKABELAN</t>
        </is>
      </c>
      <c r="D913" s="35" t="inlineStr">
        <is>
          <t>Bh</t>
        </is>
      </c>
      <c r="E913" s="37" t="n">
        <v>0</v>
      </c>
      <c r="F913" s="37" t="n">
        <v>114440</v>
      </c>
      <c r="G913" s="68" t="n"/>
      <c r="H913" s="68">
        <f>E913*G913</f>
        <v/>
      </c>
      <c r="I913" s="68">
        <f>F913*G913</f>
        <v/>
      </c>
      <c r="J913" s="68">
        <f>SUM(H913:I913)</f>
        <v/>
      </c>
      <c r="K913" s="43" t="n"/>
    </row>
    <row r="914" hidden="1" ht="14.5" customHeight="1">
      <c r="A914" s="35" t="n">
        <v>906</v>
      </c>
      <c r="B914" s="40" t="inlineStr">
        <is>
          <t>J-P-KB</t>
        </is>
      </c>
      <c r="C914" s="36" t="inlineStr">
        <is>
          <t>PEMBERSIHAN KABINET TERMASUK MODUL DAN PERKABELAN</t>
        </is>
      </c>
      <c r="D914" s="35" t="inlineStr">
        <is>
          <t>Bh</t>
        </is>
      </c>
      <c r="E914" s="42" t="n">
        <v>0</v>
      </c>
      <c r="F914" s="37" t="n">
        <v>114440</v>
      </c>
      <c r="G914" s="68" t="n"/>
      <c r="H914" s="68">
        <f>E914*G914</f>
        <v/>
      </c>
      <c r="I914" s="68">
        <f>F914*G914</f>
        <v/>
      </c>
      <c r="J914" s="68">
        <f>SUM(H914:I914)</f>
        <v/>
      </c>
      <c r="K914" s="43" t="n"/>
    </row>
    <row r="915" hidden="1" ht="29" customHeight="1">
      <c r="A915" s="35" t="n">
        <v>907</v>
      </c>
      <c r="B915" s="35" t="inlineStr">
        <is>
          <t>PB-TT-7/9</t>
        </is>
      </c>
      <c r="C915" s="36" t="inlineStr">
        <is>
          <t>PEMBONGKARAN, PENGGESERAN DAN PEMASANGAN KEMBALI TIANG BESI 7 M DAN 9 M</t>
        </is>
      </c>
      <c r="D915" s="35" t="inlineStr">
        <is>
          <t>Btg</t>
        </is>
      </c>
      <c r="E915" s="37" t="n">
        <v>0</v>
      </c>
      <c r="F915" s="37" t="n">
        <v>105020</v>
      </c>
      <c r="G915" s="68" t="n"/>
      <c r="H915" s="68">
        <f>E915*G915</f>
        <v/>
      </c>
      <c r="I915" s="68">
        <f>F915*G915</f>
        <v/>
      </c>
      <c r="J915" s="68">
        <f>SUM(H915:I915)</f>
        <v/>
      </c>
      <c r="K915" s="43" t="n"/>
    </row>
    <row r="916" hidden="1" ht="29" customHeight="1">
      <c r="A916" s="35" t="n">
        <v>908</v>
      </c>
      <c r="B916" s="40" t="inlineStr">
        <is>
          <t>J-PB-TT-7/9</t>
        </is>
      </c>
      <c r="C916" s="36" t="inlineStr">
        <is>
          <t>PEMBONGKARAN, PENGGESERAN DAN PEMASANGAN KEMBALI TIANG BESI 7 M DAN 9 M</t>
        </is>
      </c>
      <c r="D916" s="35" t="inlineStr">
        <is>
          <t>Btg</t>
        </is>
      </c>
      <c r="E916" s="42" t="n">
        <v>0</v>
      </c>
      <c r="F916" s="37" t="n">
        <v>105020</v>
      </c>
      <c r="G916" s="68" t="n"/>
      <c r="H916" s="68">
        <f>E916*G916</f>
        <v/>
      </c>
      <c r="I916" s="68">
        <f>F916*G916</f>
        <v/>
      </c>
      <c r="J916" s="68">
        <f>SUM(H916:I916)</f>
        <v/>
      </c>
      <c r="K916" s="43" t="n"/>
    </row>
    <row r="917" hidden="1" ht="14.5" customHeight="1">
      <c r="A917" s="35" t="n">
        <v>909</v>
      </c>
      <c r="B917" s="35" t="inlineStr">
        <is>
          <t>MTT-RL-7/9</t>
        </is>
      </c>
      <c r="C917" s="36" t="inlineStr">
        <is>
          <t>MENEGAKKAN TIANG BESI MIRING RUTE LURUS (DW/KU)</t>
        </is>
      </c>
      <c r="D917" s="35" t="inlineStr">
        <is>
          <t>Btg</t>
        </is>
      </c>
      <c r="E917" s="37" t="n">
        <v>0</v>
      </c>
      <c r="F917" s="37" t="n">
        <v>22910</v>
      </c>
      <c r="G917" s="68" t="n"/>
      <c r="H917" s="68">
        <f>E917*G917</f>
        <v/>
      </c>
      <c r="I917" s="68">
        <f>F917*G917</f>
        <v/>
      </c>
      <c r="J917" s="68">
        <f>SUM(H917:I917)</f>
        <v/>
      </c>
      <c r="K917" s="43" t="n"/>
    </row>
    <row r="918" hidden="1" ht="14.5" customHeight="1">
      <c r="A918" s="35" t="n">
        <v>910</v>
      </c>
      <c r="B918" s="40" t="inlineStr">
        <is>
          <t>J-MTT-RL-7/9</t>
        </is>
      </c>
      <c r="C918" s="36" t="inlineStr">
        <is>
          <t>MENEGAKKAN TIANG BESI MIRING RUTE LURUS (DW/KU)</t>
        </is>
      </c>
      <c r="D918" s="35" t="inlineStr">
        <is>
          <t>Btg</t>
        </is>
      </c>
      <c r="E918" s="42" t="n">
        <v>0</v>
      </c>
      <c r="F918" s="37" t="n">
        <v>22910</v>
      </c>
      <c r="G918" s="68" t="n"/>
      <c r="H918" s="68">
        <f>E918*G918</f>
        <v/>
      </c>
      <c r="I918" s="68">
        <f>F918*G918</f>
        <v/>
      </c>
      <c r="J918" s="68">
        <f>SUM(H918:I918)</f>
        <v/>
      </c>
      <c r="K918" s="43" t="n"/>
    </row>
    <row r="919" hidden="1" ht="14.5" customHeight="1">
      <c r="A919" s="35" t="n">
        <v>911</v>
      </c>
      <c r="B919" s="35" t="inlineStr">
        <is>
          <t>MTT-RS-7/9</t>
        </is>
      </c>
      <c r="C919" s="36" t="inlineStr">
        <is>
          <t>MENEGAKKAN TIANG BESI MIRING RUTE SUDUT (DW/KU)</t>
        </is>
      </c>
      <c r="D919" s="35" t="inlineStr">
        <is>
          <t>Btg</t>
        </is>
      </c>
      <c r="E919" s="37" t="n">
        <v>0</v>
      </c>
      <c r="F919" s="37" t="n">
        <v>28690</v>
      </c>
      <c r="G919" s="68" t="n"/>
      <c r="H919" s="68">
        <f>E919*G919</f>
        <v/>
      </c>
      <c r="I919" s="68">
        <f>F919*G919</f>
        <v/>
      </c>
      <c r="J919" s="68">
        <f>SUM(H919:I919)</f>
        <v/>
      </c>
      <c r="K919" s="43" t="n"/>
    </row>
    <row r="920" hidden="1" ht="14.5" customHeight="1">
      <c r="A920" s="35" t="n">
        <v>912</v>
      </c>
      <c r="B920" s="40" t="inlineStr">
        <is>
          <t>J-MTT-RS-7/9</t>
        </is>
      </c>
      <c r="C920" s="36" t="inlineStr">
        <is>
          <t>MENEGAKKAN TIANG BESI MIRING RUTE SUDUT (DW/KU)</t>
        </is>
      </c>
      <c r="D920" s="35" t="inlineStr">
        <is>
          <t>Btg</t>
        </is>
      </c>
      <c r="E920" s="42" t="n">
        <v>0</v>
      </c>
      <c r="F920" s="37" t="n">
        <v>28690</v>
      </c>
      <c r="G920" s="68" t="n"/>
      <c r="H920" s="68">
        <f>E920*G920</f>
        <v/>
      </c>
      <c r="I920" s="68">
        <f>F920*G920</f>
        <v/>
      </c>
      <c r="J920" s="68">
        <f>SUM(H920:I920)</f>
        <v/>
      </c>
      <c r="K920" s="43" t="n"/>
    </row>
    <row r="921" hidden="1" ht="14.5" customHeight="1">
      <c r="A921" s="35" t="n">
        <v>913</v>
      </c>
      <c r="B921" s="35" t="inlineStr">
        <is>
          <t>PT-TUNJANG</t>
        </is>
      </c>
      <c r="C921" s="36" t="inlineStr">
        <is>
          <t>PEMASANGAN TEMBERANG TUNJANG</t>
        </is>
      </c>
      <c r="D921" s="35" t="inlineStr">
        <is>
          <t>Unit</t>
        </is>
      </c>
      <c r="E921" s="37" t="n">
        <v>0</v>
      </c>
      <c r="F921" s="37" t="n">
        <v>117390</v>
      </c>
      <c r="G921" s="68" t="n"/>
      <c r="H921" s="68">
        <f>E921*G921</f>
        <v/>
      </c>
      <c r="I921" s="68">
        <f>F921*G921</f>
        <v/>
      </c>
      <c r="J921" s="68">
        <f>SUM(H921:I921)</f>
        <v/>
      </c>
      <c r="K921" s="43" t="n"/>
    </row>
    <row r="922" hidden="1" ht="14.5" customHeight="1">
      <c r="A922" s="35" t="n">
        <v>914</v>
      </c>
      <c r="B922" s="40" t="inlineStr">
        <is>
          <t>J-PT-TUNJANG</t>
        </is>
      </c>
      <c r="C922" s="36" t="inlineStr">
        <is>
          <t>PEMASANGAN TEMBERANG TUNJANG</t>
        </is>
      </c>
      <c r="D922" s="35" t="inlineStr">
        <is>
          <t>Unit</t>
        </is>
      </c>
      <c r="E922" s="42" t="n">
        <v>0</v>
      </c>
      <c r="F922" s="37" t="n">
        <v>117390</v>
      </c>
      <c r="G922" s="68" t="n"/>
      <c r="H922" s="68">
        <f>E922*G922</f>
        <v/>
      </c>
      <c r="I922" s="68">
        <f>F922*G922</f>
        <v/>
      </c>
      <c r="J922" s="68">
        <f>SUM(H922:I922)</f>
        <v/>
      </c>
      <c r="K922" s="43" t="n"/>
    </row>
    <row r="923" hidden="1" ht="14.5" customHeight="1">
      <c r="A923" s="35" t="n">
        <v>915</v>
      </c>
      <c r="B923" s="35" t="inlineStr">
        <is>
          <t>EC-26-52</t>
        </is>
      </c>
      <c r="C923" s="36" t="inlineStr">
        <is>
          <t>END CAP UKURAN 26-52</t>
        </is>
      </c>
      <c r="D923" s="35" t="inlineStr">
        <is>
          <t>Bh</t>
        </is>
      </c>
      <c r="E923" s="37" t="n">
        <v>9450</v>
      </c>
      <c r="F923" s="37" t="n">
        <v>1830</v>
      </c>
      <c r="G923" s="68" t="n"/>
      <c r="H923" s="68">
        <f>E923*G923</f>
        <v/>
      </c>
      <c r="I923" s="68">
        <f>F923*G923</f>
        <v/>
      </c>
      <c r="J923" s="68">
        <f>SUM(H923:I923)</f>
        <v/>
      </c>
      <c r="K923" s="43" t="n"/>
    </row>
    <row r="924" hidden="1" ht="14.5" customHeight="1">
      <c r="A924" s="35" t="n">
        <v>916</v>
      </c>
      <c r="B924" s="40" t="inlineStr">
        <is>
          <t>M-EC-26-52</t>
        </is>
      </c>
      <c r="C924" s="36" t="inlineStr">
        <is>
          <t>END CAP UKURAN 26-52</t>
        </is>
      </c>
      <c r="D924" s="35" t="inlineStr">
        <is>
          <t>Bh</t>
        </is>
      </c>
      <c r="E924" s="37" t="n">
        <v>9450</v>
      </c>
      <c r="F924" s="42" t="n">
        <v>0</v>
      </c>
      <c r="G924" s="68" t="n"/>
      <c r="H924" s="68">
        <f>E924*G924</f>
        <v/>
      </c>
      <c r="I924" s="68">
        <f>F924*G924</f>
        <v/>
      </c>
      <c r="J924" s="68">
        <f>SUM(H924:I924)</f>
        <v/>
      </c>
      <c r="K924" s="43" t="n"/>
    </row>
    <row r="925" hidden="1" ht="14.5" customHeight="1">
      <c r="A925" s="35" t="n">
        <v>917</v>
      </c>
      <c r="B925" s="40" t="inlineStr">
        <is>
          <t>J-EC-26-52</t>
        </is>
      </c>
      <c r="C925" s="36" t="inlineStr">
        <is>
          <t>END CAP UKURAN 26-52</t>
        </is>
      </c>
      <c r="D925" s="35" t="inlineStr">
        <is>
          <t>Bh</t>
        </is>
      </c>
      <c r="E925" s="42" t="n">
        <v>0</v>
      </c>
      <c r="F925" s="37" t="n">
        <v>1830</v>
      </c>
      <c r="G925" s="68" t="n"/>
      <c r="H925" s="68">
        <f>E925*G925</f>
        <v/>
      </c>
      <c r="I925" s="68">
        <f>F925*G925</f>
        <v/>
      </c>
      <c r="J925" s="68">
        <f>SUM(H925:I925)</f>
        <v/>
      </c>
      <c r="K925" s="43" t="n"/>
    </row>
    <row r="926" hidden="1" ht="14.5" customHeight="1">
      <c r="A926" s="35" t="n">
        <v>918</v>
      </c>
      <c r="B926" s="35" t="inlineStr">
        <is>
          <t>P-J-H1/H2</t>
        </is>
      </c>
      <c r="C926" s="36" t="inlineStr">
        <is>
          <t>PEMBERSIHAN MANHOLE H1/H2</t>
        </is>
      </c>
      <c r="D926" s="35" t="inlineStr">
        <is>
          <t>Bh</t>
        </is>
      </c>
      <c r="E926" s="37" t="n">
        <v>0</v>
      </c>
      <c r="F926" s="37" t="n">
        <v>278070</v>
      </c>
      <c r="G926" s="68" t="n"/>
      <c r="H926" s="68">
        <f>E926*G926</f>
        <v/>
      </c>
      <c r="I926" s="68">
        <f>F926*G926</f>
        <v/>
      </c>
      <c r="J926" s="68">
        <f>SUM(H926:I926)</f>
        <v/>
      </c>
      <c r="K926" s="43" t="n"/>
    </row>
    <row r="927" hidden="1" ht="14.5" customHeight="1">
      <c r="A927" s="35" t="n">
        <v>919</v>
      </c>
      <c r="B927" s="40" t="inlineStr">
        <is>
          <t>J-P-J-H1/H2</t>
        </is>
      </c>
      <c r="C927" s="36" t="inlineStr">
        <is>
          <t>PEMBERSIHAN MANHOLE H1/H2</t>
        </is>
      </c>
      <c r="D927" s="35" t="inlineStr">
        <is>
          <t>Bh</t>
        </is>
      </c>
      <c r="E927" s="42" t="n">
        <v>0</v>
      </c>
      <c r="F927" s="37" t="n">
        <v>278070</v>
      </c>
      <c r="G927" s="68" t="n"/>
      <c r="H927" s="68">
        <f>E927*G927</f>
        <v/>
      </c>
      <c r="I927" s="68">
        <f>F927*G927</f>
        <v/>
      </c>
      <c r="J927" s="68">
        <f>SUM(H927:I927)</f>
        <v/>
      </c>
      <c r="K927" s="43" t="n"/>
    </row>
    <row r="928" hidden="1" ht="14.5" customHeight="1">
      <c r="A928" s="35" t="n">
        <v>920</v>
      </c>
      <c r="B928" s="35" t="inlineStr">
        <is>
          <t>P-J-H3/H4</t>
        </is>
      </c>
      <c r="C928" s="36" t="inlineStr">
        <is>
          <t>PEMBERSIHAN MANHOLE H3/H4</t>
        </is>
      </c>
      <c r="D928" s="35" t="inlineStr">
        <is>
          <t>Bh</t>
        </is>
      </c>
      <c r="E928" s="37" t="n">
        <v>0</v>
      </c>
      <c r="F928" s="37" t="n">
        <v>383090</v>
      </c>
      <c r="G928" s="68" t="n"/>
      <c r="H928" s="68">
        <f>E928*G928</f>
        <v/>
      </c>
      <c r="I928" s="68">
        <f>F928*G928</f>
        <v/>
      </c>
      <c r="J928" s="68">
        <f>SUM(H928:I928)</f>
        <v/>
      </c>
      <c r="K928" s="43" t="n"/>
    </row>
    <row r="929" hidden="1" ht="14.5" customHeight="1">
      <c r="A929" s="35" t="n">
        <v>921</v>
      </c>
      <c r="B929" s="40" t="inlineStr">
        <is>
          <t>J-P-J-H3/H4</t>
        </is>
      </c>
      <c r="C929" s="36" t="inlineStr">
        <is>
          <t>PEMBERSIHAN MANHOLE H3/H4</t>
        </is>
      </c>
      <c r="D929" s="35" t="inlineStr">
        <is>
          <t>Bh</t>
        </is>
      </c>
      <c r="E929" s="42" t="n">
        <v>0</v>
      </c>
      <c r="F929" s="37" t="n">
        <v>383090</v>
      </c>
      <c r="G929" s="68" t="n"/>
      <c r="H929" s="68">
        <f>E929*G929</f>
        <v/>
      </c>
      <c r="I929" s="68">
        <f>F929*G929</f>
        <v/>
      </c>
      <c r="J929" s="68">
        <f>SUM(H929:I929)</f>
        <v/>
      </c>
      <c r="K929" s="43" t="n"/>
    </row>
    <row r="930" hidden="1" ht="14.5" customHeight="1">
      <c r="A930" s="35" t="n">
        <v>922</v>
      </c>
      <c r="B930" s="35" t="inlineStr">
        <is>
          <t>P-H-1</t>
        </is>
      </c>
      <c r="C930" s="36" t="inlineStr">
        <is>
          <t>PEMBERSIHAN HANHOLE TYPE 1 (120 cm x 100 cm x 160 cm)</t>
        </is>
      </c>
      <c r="D930" s="35" t="inlineStr">
        <is>
          <t>Bh</t>
        </is>
      </c>
      <c r="E930" s="37" t="n">
        <v>0</v>
      </c>
      <c r="F930" s="37" t="n">
        <v>49470</v>
      </c>
      <c r="G930" s="68" t="n"/>
      <c r="H930" s="68">
        <f>E930*G930</f>
        <v/>
      </c>
      <c r="I930" s="68">
        <f>F930*G930</f>
        <v/>
      </c>
      <c r="J930" s="68">
        <f>SUM(H930:I930)</f>
        <v/>
      </c>
      <c r="K930" s="43" t="n"/>
    </row>
    <row r="931" hidden="1" ht="14.5" customHeight="1">
      <c r="A931" s="35" t="n">
        <v>923</v>
      </c>
      <c r="B931" s="40" t="inlineStr">
        <is>
          <t>J-P-H-1</t>
        </is>
      </c>
      <c r="C931" s="36" t="inlineStr">
        <is>
          <t>PEMBERSIHAN HANHOLE TYPE 1 (120 cm x 100 cm x 160 cm)</t>
        </is>
      </c>
      <c r="D931" s="35" t="inlineStr">
        <is>
          <t>Bh</t>
        </is>
      </c>
      <c r="E931" s="42" t="n">
        <v>0</v>
      </c>
      <c r="F931" s="37" t="n">
        <v>49470</v>
      </c>
      <c r="G931" s="68" t="n"/>
      <c r="H931" s="68">
        <f>E931*G931</f>
        <v/>
      </c>
      <c r="I931" s="68">
        <f>F931*G931</f>
        <v/>
      </c>
      <c r="J931" s="68">
        <f>SUM(H931:I931)</f>
        <v/>
      </c>
      <c r="K931" s="43" t="n"/>
    </row>
    <row r="932" hidden="1" ht="14.5" customHeight="1">
      <c r="A932" s="35" t="n">
        <v>924</v>
      </c>
      <c r="B932" s="35" t="inlineStr">
        <is>
          <t>P-H-2</t>
        </is>
      </c>
      <c r="C932" s="36" t="inlineStr">
        <is>
          <t>PEMBERSIHAN HANHOLE TYPE 2 (180 cm x 100 cm x 160 cm )</t>
        </is>
      </c>
      <c r="D932" s="35" t="inlineStr">
        <is>
          <t>Bh</t>
        </is>
      </c>
      <c r="E932" s="37" t="n">
        <v>0</v>
      </c>
      <c r="F932" s="37" t="n">
        <v>61840</v>
      </c>
      <c r="G932" s="68" t="n"/>
      <c r="H932" s="68">
        <f>E932*G932</f>
        <v/>
      </c>
      <c r="I932" s="68">
        <f>F932*G932</f>
        <v/>
      </c>
      <c r="J932" s="68">
        <f>SUM(H932:I932)</f>
        <v/>
      </c>
      <c r="K932" s="43" t="n"/>
    </row>
    <row r="933" hidden="1" ht="14.5" customHeight="1">
      <c r="A933" s="35" t="n">
        <v>925</v>
      </c>
      <c r="B933" s="40" t="inlineStr">
        <is>
          <t>J-P-H-2</t>
        </is>
      </c>
      <c r="C933" s="36" t="inlineStr">
        <is>
          <t>PEMBERSIHAN HANHOLE TYPE 2 (180 cm x 100 cm x 160 cm )</t>
        </is>
      </c>
      <c r="D933" s="35" t="inlineStr">
        <is>
          <t>Bh</t>
        </is>
      </c>
      <c r="E933" s="42" t="n">
        <v>0</v>
      </c>
      <c r="F933" s="37" t="n">
        <v>61840</v>
      </c>
      <c r="G933" s="68" t="n"/>
      <c r="H933" s="68">
        <f>E933*G933</f>
        <v/>
      </c>
      <c r="I933" s="68">
        <f>F933*G933</f>
        <v/>
      </c>
      <c r="J933" s="68">
        <f>SUM(H933:I933)</f>
        <v/>
      </c>
      <c r="K933" s="43" t="n"/>
    </row>
    <row r="934" hidden="1" ht="14.5" customHeight="1">
      <c r="A934" s="35" t="n">
        <v>926</v>
      </c>
      <c r="B934" s="35" t="inlineStr">
        <is>
          <t>RK-LY</t>
        </is>
      </c>
      <c r="C934" s="36" t="inlineStr">
        <is>
          <t>PEREMAJAAN/UPDATE LAYOUT KABINET</t>
        </is>
      </c>
      <c r="D934" s="35" t="inlineStr">
        <is>
          <t>Bh</t>
        </is>
      </c>
      <c r="E934" s="37" t="n">
        <v>0</v>
      </c>
      <c r="F934" s="37" t="n">
        <v>10950</v>
      </c>
      <c r="G934" s="68" t="n"/>
      <c r="H934" s="68">
        <f>E934*G934</f>
        <v/>
      </c>
      <c r="I934" s="68">
        <f>F934*G934</f>
        <v/>
      </c>
      <c r="J934" s="68">
        <f>SUM(H934:I934)</f>
        <v/>
      </c>
      <c r="K934" s="43" t="n"/>
    </row>
    <row r="935" hidden="1" ht="14.5" customHeight="1">
      <c r="A935" s="35" t="n">
        <v>927</v>
      </c>
      <c r="B935" s="40" t="inlineStr">
        <is>
          <t>J-RK-LY</t>
        </is>
      </c>
      <c r="C935" s="36" t="inlineStr">
        <is>
          <t>PEREMAJAAN/UPDATE LAYOUT KABINET</t>
        </is>
      </c>
      <c r="D935" s="35" t="inlineStr">
        <is>
          <t>Bh</t>
        </is>
      </c>
      <c r="E935" s="42" t="n">
        <v>0</v>
      </c>
      <c r="F935" s="37" t="n">
        <v>10950</v>
      </c>
      <c r="G935" s="68" t="n"/>
      <c r="H935" s="68">
        <f>E935*G935</f>
        <v/>
      </c>
      <c r="I935" s="68">
        <f>F935*G935</f>
        <v/>
      </c>
      <c r="J935" s="68">
        <f>SUM(H935:I935)</f>
        <v/>
      </c>
      <c r="K935" s="43" t="n"/>
    </row>
    <row r="936" hidden="1" ht="14.5" customHeight="1">
      <c r="A936" s="35" t="n">
        <v>928</v>
      </c>
      <c r="B936" s="35" t="inlineStr">
        <is>
          <t>RK-PATOK</t>
        </is>
      </c>
      <c r="C936" s="36" t="inlineStr">
        <is>
          <t>PERBAIKAN PATOK BERIKUT CAT ULANG</t>
        </is>
      </c>
      <c r="D936" s="35" t="inlineStr">
        <is>
          <t>Bh</t>
        </is>
      </c>
      <c r="E936" s="37" t="n">
        <v>0</v>
      </c>
      <c r="F936" s="37" t="n">
        <v>156500</v>
      </c>
      <c r="G936" s="68" t="n"/>
      <c r="H936" s="68">
        <f>E936*G936</f>
        <v/>
      </c>
      <c r="I936" s="68">
        <f>F936*G936</f>
        <v/>
      </c>
      <c r="J936" s="68">
        <f>SUM(H936:I936)</f>
        <v/>
      </c>
      <c r="K936" s="43" t="n"/>
    </row>
    <row r="937" hidden="1" ht="14.5" customHeight="1">
      <c r="A937" s="35" t="n">
        <v>929</v>
      </c>
      <c r="B937" s="40" t="inlineStr">
        <is>
          <t>J-RK-PATOK</t>
        </is>
      </c>
      <c r="C937" s="36" t="inlineStr">
        <is>
          <t>PERBAIKAN PATOK BERIKUT CAT ULANG</t>
        </is>
      </c>
      <c r="D937" s="35" t="inlineStr">
        <is>
          <t>Bh</t>
        </is>
      </c>
      <c r="E937" s="42" t="n">
        <v>0</v>
      </c>
      <c r="F937" s="37" t="n">
        <v>156500</v>
      </c>
      <c r="G937" s="68" t="n"/>
      <c r="H937" s="68">
        <f>E937*G937</f>
        <v/>
      </c>
      <c r="I937" s="68">
        <f>F937*G937</f>
        <v/>
      </c>
      <c r="J937" s="68">
        <f>SUM(H937:I937)</f>
        <v/>
      </c>
      <c r="K937" s="43" t="n"/>
    </row>
    <row r="938" hidden="1" ht="14.5" customHeight="1">
      <c r="A938" s="35" t="n">
        <v>930</v>
      </c>
      <c r="B938" s="35" t="inlineStr">
        <is>
          <t>RK-DUDUKKAB</t>
        </is>
      </c>
      <c r="C938" s="36" t="inlineStr">
        <is>
          <t>PERBAIKAN BETON DUDUKAN KABINET</t>
        </is>
      </c>
      <c r="D938" s="35" t="inlineStr">
        <is>
          <t>m3</t>
        </is>
      </c>
      <c r="E938" s="37" t="n">
        <v>0</v>
      </c>
      <c r="F938" s="37" t="n">
        <v>659850</v>
      </c>
      <c r="G938" s="68" t="n"/>
      <c r="H938" s="68">
        <f>E938*G938</f>
        <v/>
      </c>
      <c r="I938" s="68">
        <f>F938*G938</f>
        <v/>
      </c>
      <c r="J938" s="68">
        <f>SUM(H938:I938)</f>
        <v/>
      </c>
      <c r="K938" s="43" t="n"/>
    </row>
    <row r="939" hidden="1" ht="14.5" customHeight="1">
      <c r="A939" s="35" t="n">
        <v>931</v>
      </c>
      <c r="B939" s="40" t="inlineStr">
        <is>
          <t>J-RK-DUDUKKAB</t>
        </is>
      </c>
      <c r="C939" s="36" t="inlineStr">
        <is>
          <t>PERBAIKAN BETON DUDUKAN KABINET</t>
        </is>
      </c>
      <c r="D939" s="35" t="inlineStr">
        <is>
          <t>m3</t>
        </is>
      </c>
      <c r="E939" s="42" t="n">
        <v>0</v>
      </c>
      <c r="F939" s="37" t="n">
        <v>659850</v>
      </c>
      <c r="G939" s="68" t="n"/>
      <c r="H939" s="68">
        <f>E939*G939</f>
        <v/>
      </c>
      <c r="I939" s="68">
        <f>F939*G939</f>
        <v/>
      </c>
      <c r="J939" s="68">
        <f>SUM(H939:I939)</f>
        <v/>
      </c>
      <c r="K939" s="43" t="n"/>
    </row>
    <row r="940" hidden="1" ht="14.5" customHeight="1">
      <c r="A940" s="35" t="n">
        <v>932</v>
      </c>
      <c r="B940" s="35" t="inlineStr">
        <is>
          <t>RK-GRD</t>
        </is>
      </c>
      <c r="C940" s="36" t="inlineStr">
        <is>
          <t>PEMELIHARAAN/PENGUKURAN GROUNDING RK/NODE</t>
        </is>
      </c>
      <c r="D940" s="35" t="inlineStr">
        <is>
          <t>Bh</t>
        </is>
      </c>
      <c r="E940" s="37" t="n">
        <v>0</v>
      </c>
      <c r="F940" s="37" t="n">
        <v>40120</v>
      </c>
      <c r="G940" s="68" t="n"/>
      <c r="H940" s="68">
        <f>E940*G940</f>
        <v/>
      </c>
      <c r="I940" s="68">
        <f>F940*G940</f>
        <v/>
      </c>
      <c r="J940" s="68">
        <f>SUM(H940:I940)</f>
        <v/>
      </c>
      <c r="K940" s="43" t="n"/>
    </row>
    <row r="941" hidden="1" ht="14.5" customHeight="1">
      <c r="A941" s="35" t="n">
        <v>933</v>
      </c>
      <c r="B941" s="40" t="inlineStr">
        <is>
          <t>J-RK-GRD</t>
        </is>
      </c>
      <c r="C941" s="36" t="inlineStr">
        <is>
          <t>PEMELIHARAAN/PENGUKURAN GROUNDING RK/NODE</t>
        </is>
      </c>
      <c r="D941" s="35" t="inlineStr">
        <is>
          <t>Bh</t>
        </is>
      </c>
      <c r="E941" s="42" t="n">
        <v>0</v>
      </c>
      <c r="F941" s="37" t="n">
        <v>40120</v>
      </c>
      <c r="G941" s="68" t="n"/>
      <c r="H941" s="68">
        <f>E941*G941</f>
        <v/>
      </c>
      <c r="I941" s="68">
        <f>F941*G941</f>
        <v/>
      </c>
      <c r="J941" s="68">
        <f>SUM(H941:I941)</f>
        <v/>
      </c>
      <c r="K941" s="43" t="n"/>
    </row>
    <row r="942" hidden="1" ht="29" customHeight="1">
      <c r="A942" s="35" t="n">
        <v>934</v>
      </c>
      <c r="B942" s="35" t="inlineStr">
        <is>
          <t>NE-KOORD</t>
        </is>
      </c>
      <c r="C942" s="36" t="inlineStr">
        <is>
          <t>MENGUKUR KOORDINAT NETWORK ELEMENT DAN MENYERAHKANNYA KE TELKOM</t>
        </is>
      </c>
      <c r="D942" s="35" t="inlineStr">
        <is>
          <t>Bh</t>
        </is>
      </c>
      <c r="E942" s="37" t="n">
        <v>0</v>
      </c>
      <c r="F942" s="37" t="n">
        <v>12210</v>
      </c>
      <c r="G942" s="68" t="n"/>
      <c r="H942" s="68">
        <f>E942*G942</f>
        <v/>
      </c>
      <c r="I942" s="68">
        <f>F942*G942</f>
        <v/>
      </c>
      <c r="J942" s="68">
        <f>SUM(H942:I942)</f>
        <v/>
      </c>
      <c r="K942" s="43" t="n"/>
    </row>
    <row r="943" hidden="1" ht="29" customHeight="1">
      <c r="A943" s="35" t="n">
        <v>935</v>
      </c>
      <c r="B943" s="40" t="inlineStr">
        <is>
          <t>J-NE-KOORD</t>
        </is>
      </c>
      <c r="C943" s="36" t="inlineStr">
        <is>
          <t>MENGUKUR KOORDINAT NETWORK ELEMENT DAN MENYERAHKANNYA KE TELKOM</t>
        </is>
      </c>
      <c r="D943" s="35" t="inlineStr">
        <is>
          <t>Bh</t>
        </is>
      </c>
      <c r="E943" s="42" t="n">
        <v>0</v>
      </c>
      <c r="F943" s="37" t="n">
        <v>12210</v>
      </c>
      <c r="G943" s="68" t="n"/>
      <c r="H943" s="68">
        <f>E943*G943</f>
        <v/>
      </c>
      <c r="I943" s="68">
        <f>F943*G943</f>
        <v/>
      </c>
      <c r="J943" s="68">
        <f>SUM(H943:I943)</f>
        <v/>
      </c>
      <c r="K943" s="43" t="n"/>
    </row>
    <row r="944" hidden="1" ht="14.5" customHeight="1">
      <c r="A944" s="35" t="n">
        <v>936</v>
      </c>
      <c r="B944" s="35" t="inlineStr">
        <is>
          <t>DP-CLEAN</t>
        </is>
      </c>
      <c r="C944" s="36" t="inlineStr">
        <is>
          <t>PEMELIHARAAN/PERAPIHAN/PEMBERSIHAN LUAR-DALAM</t>
        </is>
      </c>
      <c r="D944" s="35" t="inlineStr">
        <is>
          <t>Set</t>
        </is>
      </c>
      <c r="E944" s="37" t="n">
        <v>0</v>
      </c>
      <c r="F944" s="37" t="n">
        <v>11620</v>
      </c>
      <c r="G944" s="68" t="n"/>
      <c r="H944" s="68">
        <f>E944*G944</f>
        <v/>
      </c>
      <c r="I944" s="68">
        <f>F944*G944</f>
        <v/>
      </c>
      <c r="J944" s="68">
        <f>SUM(H944:I944)</f>
        <v/>
      </c>
      <c r="K944" s="43" t="n"/>
    </row>
    <row r="945" hidden="1" ht="14.5" customHeight="1">
      <c r="A945" s="35" t="n">
        <v>937</v>
      </c>
      <c r="B945" s="40" t="inlineStr">
        <is>
          <t>J-DP-CLEAN</t>
        </is>
      </c>
      <c r="C945" s="36" t="inlineStr">
        <is>
          <t>PEMELIHARAAN/PERAPIHAN/PEMBERSIHAN LUAR-DALAM</t>
        </is>
      </c>
      <c r="D945" s="35" t="inlineStr">
        <is>
          <t>Set</t>
        </is>
      </c>
      <c r="E945" s="42" t="n">
        <v>0</v>
      </c>
      <c r="F945" s="37" t="n">
        <v>11620</v>
      </c>
      <c r="G945" s="68" t="n"/>
      <c r="H945" s="68">
        <f>E945*G945</f>
        <v/>
      </c>
      <c r="I945" s="68">
        <f>F945*G945</f>
        <v/>
      </c>
      <c r="J945" s="68">
        <f>SUM(H945:I945)</f>
        <v/>
      </c>
      <c r="K945" s="43" t="n"/>
    </row>
    <row r="946" hidden="1" ht="14.5" customHeight="1">
      <c r="A946" s="35" t="n">
        <v>938</v>
      </c>
      <c r="B946" s="35" t="inlineStr">
        <is>
          <t>DP-GRD</t>
        </is>
      </c>
      <c r="C946" s="36" t="inlineStr">
        <is>
          <t>PEMELIHARAAN &amp; PENGUKURAN GROUNDING</t>
        </is>
      </c>
      <c r="D946" s="35" t="inlineStr">
        <is>
          <t>Bh</t>
        </is>
      </c>
      <c r="E946" s="37" t="n">
        <v>0</v>
      </c>
      <c r="F946" s="37" t="n">
        <v>40120</v>
      </c>
      <c r="G946" s="68" t="n"/>
      <c r="H946" s="68">
        <f>E946*G946</f>
        <v/>
      </c>
      <c r="I946" s="68">
        <f>F946*G946</f>
        <v/>
      </c>
      <c r="J946" s="68">
        <f>SUM(H946:I946)</f>
        <v/>
      </c>
      <c r="K946" s="43" t="n"/>
    </row>
    <row r="947" hidden="1" ht="14.5" customHeight="1">
      <c r="A947" s="35" t="n">
        <v>939</v>
      </c>
      <c r="B947" s="40" t="inlineStr">
        <is>
          <t>J-DP-GRD</t>
        </is>
      </c>
      <c r="C947" s="36" t="inlineStr">
        <is>
          <t>PEMELIHARAAN &amp; PENGUKURAN GROUNDING</t>
        </is>
      </c>
      <c r="D947" s="35" t="inlineStr">
        <is>
          <t>Bh</t>
        </is>
      </c>
      <c r="E947" s="42" t="n">
        <v>0</v>
      </c>
      <c r="F947" s="37" t="n">
        <v>40120</v>
      </c>
      <c r="G947" s="68" t="n"/>
      <c r="H947" s="68">
        <f>E947*G947</f>
        <v/>
      </c>
      <c r="I947" s="68">
        <f>F947*G947</f>
        <v/>
      </c>
      <c r="J947" s="68">
        <f>SUM(H947:I947)</f>
        <v/>
      </c>
      <c r="K947" s="43" t="n"/>
    </row>
    <row r="948" hidden="1" ht="14.5" customHeight="1">
      <c r="A948" s="35" t="n">
        <v>940</v>
      </c>
      <c r="B948" s="35" t="inlineStr">
        <is>
          <t>DP-LAB</t>
        </is>
      </c>
      <c r="C948" s="36" t="inlineStr">
        <is>
          <t>PELABELAN</t>
        </is>
      </c>
      <c r="D948" s="35" t="inlineStr">
        <is>
          <t>Set</t>
        </is>
      </c>
      <c r="E948" s="37" t="n">
        <v>0</v>
      </c>
      <c r="F948" s="37" t="n">
        <v>5510</v>
      </c>
      <c r="G948" s="68" t="n"/>
      <c r="H948" s="68">
        <f>E948*G948</f>
        <v/>
      </c>
      <c r="I948" s="68">
        <f>F948*G948</f>
        <v/>
      </c>
      <c r="J948" s="68">
        <f>SUM(H948:I948)</f>
        <v/>
      </c>
      <c r="K948" s="43" t="n"/>
    </row>
    <row r="949" hidden="1" ht="14.5" customHeight="1">
      <c r="A949" s="35" t="n">
        <v>941</v>
      </c>
      <c r="B949" s="40" t="inlineStr">
        <is>
          <t>J-DP-LAB</t>
        </is>
      </c>
      <c r="C949" s="36" t="inlineStr">
        <is>
          <t>PELABELAN</t>
        </is>
      </c>
      <c r="D949" s="35" t="inlineStr">
        <is>
          <t>Set</t>
        </is>
      </c>
      <c r="E949" s="42" t="n">
        <v>0</v>
      </c>
      <c r="F949" s="37" t="n">
        <v>5510</v>
      </c>
      <c r="G949" s="68" t="n"/>
      <c r="H949" s="68">
        <f>E949*G949</f>
        <v/>
      </c>
      <c r="I949" s="68">
        <f>F949*G949</f>
        <v/>
      </c>
      <c r="J949" s="68">
        <f>SUM(H949:I949)</f>
        <v/>
      </c>
      <c r="K949" s="43" t="n"/>
    </row>
    <row r="950" hidden="1" ht="14.5" customHeight="1">
      <c r="A950" s="35" t="n">
        <v>942</v>
      </c>
      <c r="B950" s="35" t="inlineStr">
        <is>
          <t>DP-IDLE</t>
        </is>
      </c>
      <c r="C950" s="36" t="inlineStr">
        <is>
          <t>PEMBONGKARAN DP IDLE</t>
        </is>
      </c>
      <c r="D950" s="35" t="inlineStr">
        <is>
          <t>Bh</t>
        </is>
      </c>
      <c r="E950" s="37" t="n">
        <v>0</v>
      </c>
      <c r="F950" s="37" t="n">
        <v>13640</v>
      </c>
      <c r="G950" s="68" t="n"/>
      <c r="H950" s="68">
        <f>E950*G950</f>
        <v/>
      </c>
      <c r="I950" s="68">
        <f>F950*G950</f>
        <v/>
      </c>
      <c r="J950" s="68">
        <f>SUM(H950:I950)</f>
        <v/>
      </c>
      <c r="K950" s="43" t="n"/>
    </row>
    <row r="951" hidden="1" ht="14.5" customHeight="1">
      <c r="A951" s="35" t="n">
        <v>943</v>
      </c>
      <c r="B951" s="40" t="inlineStr">
        <is>
          <t>J-DP-IDLE</t>
        </is>
      </c>
      <c r="C951" s="36" t="inlineStr">
        <is>
          <t>PEMBONGKARAN DP IDLE</t>
        </is>
      </c>
      <c r="D951" s="35" t="inlineStr">
        <is>
          <t>Bh</t>
        </is>
      </c>
      <c r="E951" s="42" t="n">
        <v>0</v>
      </c>
      <c r="F951" s="37" t="n">
        <v>13640</v>
      </c>
      <c r="G951" s="68" t="n"/>
      <c r="H951" s="68">
        <f>E951*G951</f>
        <v/>
      </c>
      <c r="I951" s="68">
        <f>F951*G951</f>
        <v/>
      </c>
      <c r="J951" s="68">
        <f>SUM(H951:I951)</f>
        <v/>
      </c>
      <c r="K951" s="43" t="n"/>
    </row>
    <row r="952" hidden="1" ht="14.5" customHeight="1">
      <c r="A952" s="35" t="n">
        <v>944</v>
      </c>
      <c r="B952" s="35" t="inlineStr">
        <is>
          <t>DP-MOVING</t>
        </is>
      </c>
      <c r="C952" s="36" t="inlineStr">
        <is>
          <t>PENGALIHAN DP (KE TIANG YG LAIN)</t>
        </is>
      </c>
      <c r="D952" s="35" t="inlineStr">
        <is>
          <t>Bh</t>
        </is>
      </c>
      <c r="E952" s="37" t="n">
        <v>0</v>
      </c>
      <c r="F952" s="37" t="n">
        <v>34100</v>
      </c>
      <c r="G952" s="68" t="n"/>
      <c r="H952" s="68">
        <f>E952*G952</f>
        <v/>
      </c>
      <c r="I952" s="68">
        <f>F952*G952</f>
        <v/>
      </c>
      <c r="J952" s="68">
        <f>SUM(H952:I952)</f>
        <v/>
      </c>
      <c r="K952" s="43" t="n"/>
    </row>
    <row r="953" hidden="1" ht="14.5" customHeight="1">
      <c r="A953" s="35" t="n">
        <v>945</v>
      </c>
      <c r="B953" s="40" t="inlineStr">
        <is>
          <t>J-DP-MOVING</t>
        </is>
      </c>
      <c r="C953" s="36" t="inlineStr">
        <is>
          <t>PENGALIHAN DP (KE TIANG YG LAIN)</t>
        </is>
      </c>
      <c r="D953" s="35" t="inlineStr">
        <is>
          <t>Bh</t>
        </is>
      </c>
      <c r="E953" s="42" t="n">
        <v>0</v>
      </c>
      <c r="F953" s="37" t="n">
        <v>34100</v>
      </c>
      <c r="G953" s="68" t="n"/>
      <c r="H953" s="68">
        <f>E953*G953</f>
        <v/>
      </c>
      <c r="I953" s="68">
        <f>F953*G953</f>
        <v/>
      </c>
      <c r="J953" s="68">
        <f>SUM(H953:I953)</f>
        <v/>
      </c>
      <c r="K953" s="43" t="n"/>
    </row>
    <row r="954" hidden="1" ht="14.5" customHeight="1">
      <c r="A954" s="35" t="n">
        <v>946</v>
      </c>
      <c r="B954" s="35" t="inlineStr">
        <is>
          <t>DP-TIANG</t>
        </is>
      </c>
      <c r="C954" s="36" t="inlineStr">
        <is>
          <t>PENGECATAN BRANDING TIANG WARNA MERAH SILVER</t>
        </is>
      </c>
      <c r="D954" s="35" t="inlineStr">
        <is>
          <t>Btg</t>
        </is>
      </c>
      <c r="E954" s="37" t="n">
        <v>0</v>
      </c>
      <c r="F954" s="37" t="n">
        <v>18960</v>
      </c>
      <c r="G954" s="68" t="n"/>
      <c r="H954" s="68">
        <f>E954*G954</f>
        <v/>
      </c>
      <c r="I954" s="68">
        <f>F954*G954</f>
        <v/>
      </c>
      <c r="J954" s="68">
        <f>SUM(H954:I954)</f>
        <v/>
      </c>
      <c r="K954" s="43" t="n"/>
    </row>
    <row r="955" hidden="1" ht="14.5" customHeight="1">
      <c r="A955" s="35" t="n">
        <v>947</v>
      </c>
      <c r="B955" s="40" t="inlineStr">
        <is>
          <t>J-DP-TIANG</t>
        </is>
      </c>
      <c r="C955" s="36" t="inlineStr">
        <is>
          <t>PENGECATAN BRANDING TIANG WARNA MERAH SILVER</t>
        </is>
      </c>
      <c r="D955" s="35" t="inlineStr">
        <is>
          <t>Btg</t>
        </is>
      </c>
      <c r="E955" s="42" t="n">
        <v>0</v>
      </c>
      <c r="F955" s="37" t="n">
        <v>18960</v>
      </c>
      <c r="G955" s="68" t="n"/>
      <c r="H955" s="68">
        <f>E955*G955</f>
        <v/>
      </c>
      <c r="I955" s="68">
        <f>F955*G955</f>
        <v/>
      </c>
      <c r="J955" s="68">
        <f>SUM(H955:I955)</f>
        <v/>
      </c>
      <c r="K955" s="43" t="n"/>
    </row>
    <row r="956" hidden="1" ht="14.5" customHeight="1">
      <c r="A956" s="35" t="n">
        <v>948</v>
      </c>
      <c r="B956" s="35" t="inlineStr">
        <is>
          <t>DW-JOINT</t>
        </is>
      </c>
      <c r="C956" s="36" t="inlineStr">
        <is>
          <t>PEMBENAHAN SAMBUNGAN DW</t>
        </is>
      </c>
      <c r="D956" s="35" t="inlineStr">
        <is>
          <t>Bh</t>
        </is>
      </c>
      <c r="E956" s="37" t="n">
        <v>0</v>
      </c>
      <c r="F956" s="37" t="n">
        <v>10650</v>
      </c>
      <c r="G956" s="68" t="n"/>
      <c r="H956" s="68">
        <f>E956*G956</f>
        <v/>
      </c>
      <c r="I956" s="68">
        <f>F956*G956</f>
        <v/>
      </c>
      <c r="J956" s="68">
        <f>SUM(H956:I956)</f>
        <v/>
      </c>
      <c r="K956" s="43" t="n"/>
    </row>
    <row r="957" hidden="1" ht="14.5" customHeight="1">
      <c r="A957" s="35" t="n">
        <v>949</v>
      </c>
      <c r="B957" s="40" t="inlineStr">
        <is>
          <t>J-DW-JOINT</t>
        </is>
      </c>
      <c r="C957" s="36" t="inlineStr">
        <is>
          <t>PEMBENAHAN SAMBUNGAN DW</t>
        </is>
      </c>
      <c r="D957" s="35" t="inlineStr">
        <is>
          <t>Bh</t>
        </is>
      </c>
      <c r="E957" s="42" t="n">
        <v>0</v>
      </c>
      <c r="F957" s="37" t="n">
        <v>10650</v>
      </c>
      <c r="G957" s="68" t="n"/>
      <c r="H957" s="68">
        <f>E957*G957</f>
        <v/>
      </c>
      <c r="I957" s="68">
        <f>F957*G957</f>
        <v/>
      </c>
      <c r="J957" s="68">
        <f>SUM(H957:I957)</f>
        <v/>
      </c>
      <c r="K957" s="43" t="n"/>
    </row>
    <row r="958" hidden="1" ht="14.5" customHeight="1">
      <c r="A958" s="35" t="n">
        <v>950</v>
      </c>
      <c r="B958" s="35" t="inlineStr">
        <is>
          <t>FTM-LY</t>
        </is>
      </c>
      <c r="C958" s="36" t="inlineStr">
        <is>
          <t>PEREMAJAAN/UPDATE LAYOUT KABINET</t>
        </is>
      </c>
      <c r="D958" s="35" t="inlineStr">
        <is>
          <t>unit</t>
        </is>
      </c>
      <c r="E958" s="37" t="n">
        <v>0</v>
      </c>
      <c r="F958" s="37" t="n">
        <v>10950</v>
      </c>
      <c r="G958" s="68" t="n"/>
      <c r="H958" s="68">
        <f>E958*G958</f>
        <v/>
      </c>
      <c r="I958" s="68">
        <f>F958*G958</f>
        <v/>
      </c>
      <c r="J958" s="68">
        <f>SUM(H958:I958)</f>
        <v/>
      </c>
      <c r="K958" s="43" t="n"/>
    </row>
    <row r="959" hidden="1" ht="14.5" customHeight="1">
      <c r="A959" s="35" t="n">
        <v>951</v>
      </c>
      <c r="B959" s="40" t="inlineStr">
        <is>
          <t>J-FTM-LY</t>
        </is>
      </c>
      <c r="C959" s="36" t="inlineStr">
        <is>
          <t>PEREMAJAAN/UPDATE LAYOUT KABINET</t>
        </is>
      </c>
      <c r="D959" s="35" t="inlineStr">
        <is>
          <t>unit</t>
        </is>
      </c>
      <c r="E959" s="42" t="n">
        <v>0</v>
      </c>
      <c r="F959" s="37" t="n">
        <v>10950</v>
      </c>
      <c r="G959" s="68" t="n"/>
      <c r="H959" s="68">
        <f>E959*G959</f>
        <v/>
      </c>
      <c r="I959" s="68">
        <f>F959*G959</f>
        <v/>
      </c>
      <c r="J959" s="68">
        <f>SUM(H959:I959)</f>
        <v/>
      </c>
      <c r="K959" s="43" t="n"/>
    </row>
    <row r="960" hidden="1" ht="14.5" customHeight="1">
      <c r="A960" s="35" t="n">
        <v>952</v>
      </c>
      <c r="B960" s="35" t="inlineStr">
        <is>
          <t>FTM-LAB</t>
        </is>
      </c>
      <c r="C960" s="36" t="inlineStr">
        <is>
          <t>PELABELAN CORE</t>
        </is>
      </c>
      <c r="D960" s="35" t="inlineStr">
        <is>
          <t>Core</t>
        </is>
      </c>
      <c r="E960" s="37" t="n">
        <v>0</v>
      </c>
      <c r="F960" s="37" t="n">
        <v>2500</v>
      </c>
      <c r="G960" s="68" t="n"/>
      <c r="H960" s="68">
        <f>E960*G960</f>
        <v/>
      </c>
      <c r="I960" s="68">
        <f>F960*G960</f>
        <v/>
      </c>
      <c r="J960" s="68">
        <f>SUM(H960:I960)</f>
        <v/>
      </c>
      <c r="K960" s="43" t="n"/>
    </row>
    <row r="961" hidden="1" ht="14.5" customHeight="1">
      <c r="A961" s="35" t="n">
        <v>953</v>
      </c>
      <c r="B961" s="40" t="inlineStr">
        <is>
          <t>J-FTM-LAB</t>
        </is>
      </c>
      <c r="C961" s="36" t="inlineStr">
        <is>
          <t>PELABELAN CORE</t>
        </is>
      </c>
      <c r="D961" s="35" t="inlineStr">
        <is>
          <t>Core</t>
        </is>
      </c>
      <c r="E961" s="42" t="n">
        <v>0</v>
      </c>
      <c r="F961" s="37" t="n">
        <v>2500</v>
      </c>
      <c r="G961" s="68" t="n"/>
      <c r="H961" s="68">
        <f>E961*G961</f>
        <v/>
      </c>
      <c r="I961" s="68">
        <f>F961*G961</f>
        <v/>
      </c>
      <c r="J961" s="68">
        <f>SUM(H961:I961)</f>
        <v/>
      </c>
      <c r="K961" s="43" t="n"/>
    </row>
    <row r="962" hidden="1" ht="14.5" customHeight="1">
      <c r="A962" s="35" t="n">
        <v>954</v>
      </c>
      <c r="B962" s="35" t="inlineStr">
        <is>
          <t>FTM-MSR-CORE</t>
        </is>
      </c>
      <c r="C962" s="36" t="inlineStr">
        <is>
          <t>PENGUKURAN CORE</t>
        </is>
      </c>
      <c r="D962" s="35" t="inlineStr">
        <is>
          <t>Core</t>
        </is>
      </c>
      <c r="E962" s="37" t="n">
        <v>0</v>
      </c>
      <c r="F962" s="37" t="n">
        <v>16060</v>
      </c>
      <c r="G962" s="68" t="n"/>
      <c r="H962" s="68">
        <f>E962*G962</f>
        <v/>
      </c>
      <c r="I962" s="68">
        <f>F962*G962</f>
        <v/>
      </c>
      <c r="J962" s="68">
        <f>SUM(H962:I962)</f>
        <v/>
      </c>
      <c r="K962" s="43" t="n"/>
    </row>
    <row r="963" hidden="1" ht="14.5" customHeight="1">
      <c r="A963" s="35" t="n">
        <v>955</v>
      </c>
      <c r="B963" s="40" t="inlineStr">
        <is>
          <t>J-FTM-MSR-CORE</t>
        </is>
      </c>
      <c r="C963" s="36" t="inlineStr">
        <is>
          <t>PENGUKURAN CORE</t>
        </is>
      </c>
      <c r="D963" s="35" t="inlineStr">
        <is>
          <t>Core</t>
        </is>
      </c>
      <c r="E963" s="42" t="n">
        <v>0</v>
      </c>
      <c r="F963" s="37" t="n">
        <v>16060</v>
      </c>
      <c r="G963" s="68" t="n"/>
      <c r="H963" s="68">
        <f>E963*G963</f>
        <v/>
      </c>
      <c r="I963" s="68">
        <f>F963*G963</f>
        <v/>
      </c>
      <c r="J963" s="68">
        <f>SUM(H963:I963)</f>
        <v/>
      </c>
      <c r="K963" s="43" t="n"/>
    </row>
    <row r="964" hidden="1" ht="14.5" customHeight="1">
      <c r="A964" s="35" t="n">
        <v>956</v>
      </c>
      <c r="B964" s="35" t="inlineStr">
        <is>
          <t>FTM-GRD</t>
        </is>
      </c>
      <c r="C964" s="36" t="inlineStr">
        <is>
          <t>PEMELIHARAAN/PENGUKURAN GROUNDING NODE</t>
        </is>
      </c>
      <c r="D964" s="35" t="inlineStr">
        <is>
          <t>Titik</t>
        </is>
      </c>
      <c r="E964" s="37" t="n">
        <v>0</v>
      </c>
      <c r="F964" s="37" t="n">
        <v>40120</v>
      </c>
      <c r="G964" s="68" t="n"/>
      <c r="H964" s="68">
        <f>E964*G964</f>
        <v/>
      </c>
      <c r="I964" s="68">
        <f>F964*G964</f>
        <v/>
      </c>
      <c r="J964" s="68">
        <f>SUM(H964:I964)</f>
        <v/>
      </c>
      <c r="K964" s="43" t="n"/>
    </row>
    <row r="965" hidden="1" ht="14.5" customHeight="1">
      <c r="A965" s="35" t="n">
        <v>957</v>
      </c>
      <c r="B965" s="40" t="inlineStr">
        <is>
          <t>J-FTM-GRD</t>
        </is>
      </c>
      <c r="C965" s="36" t="inlineStr">
        <is>
          <t>PEMELIHARAAN/PENGUKURAN GROUNDING NODE</t>
        </is>
      </c>
      <c r="D965" s="35" t="inlineStr">
        <is>
          <t>Titik</t>
        </is>
      </c>
      <c r="E965" s="42" t="n">
        <v>0</v>
      </c>
      <c r="F965" s="37" t="n">
        <v>40120</v>
      </c>
      <c r="G965" s="68" t="n"/>
      <c r="H965" s="68">
        <f>E965*G965</f>
        <v/>
      </c>
      <c r="I965" s="68">
        <f>F965*G965</f>
        <v/>
      </c>
      <c r="J965" s="68">
        <f>SUM(H965:I965)</f>
        <v/>
      </c>
      <c r="K965" s="43" t="n"/>
    </row>
    <row r="966" hidden="1" ht="14.5" customHeight="1">
      <c r="A966" s="35" t="n">
        <v>958</v>
      </c>
      <c r="B966" s="35" t="inlineStr">
        <is>
          <t>NE-LOG</t>
        </is>
      </c>
      <c r="C966" s="36" t="inlineStr">
        <is>
          <t>MELENGKAPI LOGBOOK NODE NETWORK ELEMENT</t>
        </is>
      </c>
      <c r="D966" s="35" t="inlineStr">
        <is>
          <t>Node</t>
        </is>
      </c>
      <c r="E966" s="37" t="n">
        <v>0</v>
      </c>
      <c r="F966" s="37" t="n">
        <v>10950</v>
      </c>
      <c r="G966" s="68" t="n"/>
      <c r="H966" s="68">
        <f>E966*G966</f>
        <v/>
      </c>
      <c r="I966" s="68">
        <f>F966*G966</f>
        <v/>
      </c>
      <c r="J966" s="68">
        <f>SUM(H966:I966)</f>
        <v/>
      </c>
      <c r="K966" s="43" t="n"/>
    </row>
    <row r="967" hidden="1" ht="14.5" customHeight="1">
      <c r="A967" s="35" t="n">
        <v>959</v>
      </c>
      <c r="B967" s="40" t="inlineStr">
        <is>
          <t>J-NE-LOG</t>
        </is>
      </c>
      <c r="C967" s="36" t="inlineStr">
        <is>
          <t>MELENGKAPI LOGBOOK NODE NETWORK ELEMENT</t>
        </is>
      </c>
      <c r="D967" s="35" t="inlineStr">
        <is>
          <t>Node</t>
        </is>
      </c>
      <c r="E967" s="42" t="n">
        <v>0</v>
      </c>
      <c r="F967" s="37" t="n">
        <v>10950</v>
      </c>
      <c r="G967" s="68" t="n"/>
      <c r="H967" s="68">
        <f>E967*G967</f>
        <v/>
      </c>
      <c r="I967" s="68">
        <f>F967*G967</f>
        <v/>
      </c>
      <c r="J967" s="68">
        <f>SUM(H967:I967)</f>
        <v/>
      </c>
      <c r="K967" s="43" t="n"/>
    </row>
    <row r="968" hidden="1" ht="14.5" customHeight="1">
      <c r="A968" s="35" t="n">
        <v>960</v>
      </c>
      <c r="B968" s="35" t="inlineStr">
        <is>
          <t>FTM-PC</t>
        </is>
      </c>
      <c r="C968" s="36" t="inlineStr">
        <is>
          <t>PERAPIHAN PATCH CORE</t>
        </is>
      </c>
      <c r="D968" s="35" t="inlineStr">
        <is>
          <t>pcs</t>
        </is>
      </c>
      <c r="E968" s="37" t="n">
        <v>0</v>
      </c>
      <c r="F968" s="37" t="n">
        <v>2740</v>
      </c>
      <c r="G968" s="68" t="n"/>
      <c r="H968" s="68">
        <f>E968*G968</f>
        <v/>
      </c>
      <c r="I968" s="68">
        <f>F968*G968</f>
        <v/>
      </c>
      <c r="J968" s="68">
        <f>SUM(H968:I968)</f>
        <v/>
      </c>
      <c r="K968" s="43" t="n"/>
    </row>
    <row r="969" hidden="1" ht="14.5" customHeight="1">
      <c r="A969" s="35" t="n">
        <v>961</v>
      </c>
      <c r="B969" s="40" t="inlineStr">
        <is>
          <t>J-FTM-PC</t>
        </is>
      </c>
      <c r="C969" s="36" t="inlineStr">
        <is>
          <t>PERAPIHAN PATCH CORE</t>
        </is>
      </c>
      <c r="D969" s="35" t="inlineStr">
        <is>
          <t>pcs</t>
        </is>
      </c>
      <c r="E969" s="42" t="n">
        <v>0</v>
      </c>
      <c r="F969" s="37" t="n">
        <v>2740</v>
      </c>
      <c r="G969" s="68" t="n"/>
      <c r="H969" s="68">
        <f>E969*G969</f>
        <v/>
      </c>
      <c r="I969" s="68">
        <f>F969*G969</f>
        <v/>
      </c>
      <c r="J969" s="68">
        <f>SUM(H969:I969)</f>
        <v/>
      </c>
      <c r="K969" s="43" t="n"/>
    </row>
    <row r="970" hidden="1" ht="14.5" customHeight="1">
      <c r="A970" s="35" t="n">
        <v>962</v>
      </c>
      <c r="B970" s="35" t="inlineStr">
        <is>
          <t>FTM-CLEAN</t>
        </is>
      </c>
      <c r="C970" s="36" t="inlineStr">
        <is>
          <t>PEMBERSIHAN RAK FTM DAN TRAY CABLE</t>
        </is>
      </c>
      <c r="D970" s="35" t="inlineStr">
        <is>
          <t>unit</t>
        </is>
      </c>
      <c r="E970" s="37" t="n">
        <v>0</v>
      </c>
      <c r="F970" s="37" t="n">
        <v>16420</v>
      </c>
      <c r="G970" s="68" t="n"/>
      <c r="H970" s="68">
        <f>E970*G970</f>
        <v/>
      </c>
      <c r="I970" s="68">
        <f>F970*G970</f>
        <v/>
      </c>
      <c r="J970" s="68">
        <f>SUM(H970:I970)</f>
        <v/>
      </c>
      <c r="K970" s="43" t="n"/>
    </row>
    <row r="971" hidden="1" ht="14.5" customHeight="1">
      <c r="A971" s="35" t="n">
        <v>963</v>
      </c>
      <c r="B971" s="40" t="inlineStr">
        <is>
          <t>J-FTM-CLEAN</t>
        </is>
      </c>
      <c r="C971" s="36" t="inlineStr">
        <is>
          <t>PEMBERSIHAN RAK FTM DAN TRAY CABLE</t>
        </is>
      </c>
      <c r="D971" s="35" t="inlineStr">
        <is>
          <t>unit</t>
        </is>
      </c>
      <c r="E971" s="42" t="n">
        <v>0</v>
      </c>
      <c r="F971" s="37" t="n">
        <v>16420</v>
      </c>
      <c r="G971" s="68" t="n"/>
      <c r="H971" s="68">
        <f>E971*G971</f>
        <v/>
      </c>
      <c r="I971" s="68">
        <f>F971*G971</f>
        <v/>
      </c>
      <c r="J971" s="68">
        <f>SUM(H971:I971)</f>
        <v/>
      </c>
      <c r="K971" s="43" t="n"/>
    </row>
    <row r="972" hidden="1" ht="14.5" customHeight="1">
      <c r="A972" s="35" t="n">
        <v>964</v>
      </c>
      <c r="B972" s="35" t="inlineStr">
        <is>
          <t>FTM-VA-PORT</t>
        </is>
      </c>
      <c r="C972" s="36" t="inlineStr">
        <is>
          <t>VALIDASI PORT FTM</t>
        </is>
      </c>
      <c r="D972" s="35" t="inlineStr">
        <is>
          <t>Port</t>
        </is>
      </c>
      <c r="E972" s="37" t="n">
        <v>0</v>
      </c>
      <c r="F972" s="37" t="n">
        <v>10180</v>
      </c>
      <c r="G972" s="68" t="n"/>
      <c r="H972" s="68">
        <f>E972*G972</f>
        <v/>
      </c>
      <c r="I972" s="68">
        <f>F972*G972</f>
        <v/>
      </c>
      <c r="J972" s="68">
        <f>SUM(H972:I972)</f>
        <v/>
      </c>
      <c r="K972" s="43" t="n"/>
    </row>
    <row r="973" hidden="1" ht="14.5" customHeight="1">
      <c r="A973" s="35" t="n">
        <v>965</v>
      </c>
      <c r="B973" s="40" t="inlineStr">
        <is>
          <t>J-FTM-VA-PORT</t>
        </is>
      </c>
      <c r="C973" s="36" t="inlineStr">
        <is>
          <t>VALIDASI PORT FTM</t>
        </is>
      </c>
      <c r="D973" s="35" t="inlineStr">
        <is>
          <t>Port</t>
        </is>
      </c>
      <c r="E973" s="42" t="n">
        <v>0</v>
      </c>
      <c r="F973" s="37" t="n">
        <v>10180</v>
      </c>
      <c r="G973" s="68" t="n"/>
      <c r="H973" s="68">
        <f>E973*G973</f>
        <v/>
      </c>
      <c r="I973" s="68">
        <f>F973*G973</f>
        <v/>
      </c>
      <c r="J973" s="68">
        <f>SUM(H973:I973)</f>
        <v/>
      </c>
      <c r="K973" s="43" t="n"/>
    </row>
    <row r="974" hidden="1" ht="14.5" customHeight="1">
      <c r="A974" s="35" t="n">
        <v>966</v>
      </c>
      <c r="B974" s="35" t="inlineStr">
        <is>
          <t>FTM-LABEL</t>
        </is>
      </c>
      <c r="C974" s="36" t="inlineStr">
        <is>
          <t>PEKERJAAN LABEL RACK DAN SUBRACK FTM (REVITALISASI)</t>
        </is>
      </c>
      <c r="D974" s="35" t="inlineStr">
        <is>
          <t>pcs</t>
        </is>
      </c>
      <c r="E974" s="37" t="n">
        <v>0</v>
      </c>
      <c r="F974" s="37" t="n">
        <v>2500</v>
      </c>
      <c r="G974" s="68" t="n"/>
      <c r="H974" s="68">
        <f>E974*G974</f>
        <v/>
      </c>
      <c r="I974" s="68">
        <f>F974*G974</f>
        <v/>
      </c>
      <c r="J974" s="68">
        <f>SUM(H974:I974)</f>
        <v/>
      </c>
      <c r="K974" s="43" t="n"/>
    </row>
    <row r="975" hidden="1" ht="14.5" customHeight="1">
      <c r="A975" s="35" t="n">
        <v>967</v>
      </c>
      <c r="B975" s="40" t="inlineStr">
        <is>
          <t>J-FTM-LABEL</t>
        </is>
      </c>
      <c r="C975" s="36" t="inlineStr">
        <is>
          <t>PEKERJAAN LABEL RACK DAN SUBRACK FTM (REVITALISASI)</t>
        </is>
      </c>
      <c r="D975" s="35" t="inlineStr">
        <is>
          <t>pcs</t>
        </is>
      </c>
      <c r="E975" s="42" t="n">
        <v>0</v>
      </c>
      <c r="F975" s="37" t="n">
        <v>2500</v>
      </c>
      <c r="G975" s="68" t="n"/>
      <c r="H975" s="68">
        <f>E975*G975</f>
        <v/>
      </c>
      <c r="I975" s="68">
        <f>F975*G975</f>
        <v/>
      </c>
      <c r="J975" s="68">
        <f>SUM(H975:I975)</f>
        <v/>
      </c>
      <c r="K975" s="43" t="n"/>
    </row>
    <row r="976" hidden="1" ht="14.5" customHeight="1">
      <c r="A976" s="35" t="n">
        <v>968</v>
      </c>
      <c r="B976" s="35" t="inlineStr">
        <is>
          <t>ODC-LY</t>
        </is>
      </c>
      <c r="C976" s="36" t="inlineStr">
        <is>
          <t>PEREMAJAAN/UPDATE LAYOUT KABINET</t>
        </is>
      </c>
      <c r="D976" s="35" t="inlineStr">
        <is>
          <t>Node</t>
        </is>
      </c>
      <c r="E976" s="37" t="n">
        <v>0</v>
      </c>
      <c r="F976" s="37" t="n">
        <v>10950</v>
      </c>
      <c r="G976" s="68" t="n"/>
      <c r="H976" s="68">
        <f>E976*G976</f>
        <v/>
      </c>
      <c r="I976" s="68">
        <f>F976*G976</f>
        <v/>
      </c>
      <c r="J976" s="68">
        <f>SUM(H976:I976)</f>
        <v/>
      </c>
      <c r="K976" s="43" t="n"/>
    </row>
    <row r="977" hidden="1" ht="14.5" customHeight="1">
      <c r="A977" s="35" t="n">
        <v>969</v>
      </c>
      <c r="B977" s="40" t="inlineStr">
        <is>
          <t>J-ODC-LY</t>
        </is>
      </c>
      <c r="C977" s="36" t="inlineStr">
        <is>
          <t>PEREMAJAAN/UPDATE LAYOUT KABINET</t>
        </is>
      </c>
      <c r="D977" s="35" t="inlineStr">
        <is>
          <t>Node</t>
        </is>
      </c>
      <c r="E977" s="42" t="n">
        <v>0</v>
      </c>
      <c r="F977" s="37" t="n">
        <v>10950</v>
      </c>
      <c r="G977" s="68" t="n"/>
      <c r="H977" s="68">
        <f>E977*G977</f>
        <v/>
      </c>
      <c r="I977" s="68">
        <f>F977*G977</f>
        <v/>
      </c>
      <c r="J977" s="68">
        <f>SUM(H977:I977)</f>
        <v/>
      </c>
      <c r="K977" s="43" t="n"/>
    </row>
    <row r="978" hidden="1" ht="14.5" customHeight="1">
      <c r="A978" s="35" t="n">
        <v>970</v>
      </c>
      <c r="B978" s="35" t="inlineStr">
        <is>
          <t>ODC-LAB</t>
        </is>
      </c>
      <c r="C978" s="36" t="inlineStr">
        <is>
          <t>PELABELAN CORE</t>
        </is>
      </c>
      <c r="D978" s="35" t="inlineStr">
        <is>
          <t>Core</t>
        </is>
      </c>
      <c r="E978" s="37" t="n">
        <v>0</v>
      </c>
      <c r="F978" s="37" t="n">
        <v>2500</v>
      </c>
      <c r="G978" s="68" t="n"/>
      <c r="H978" s="68">
        <f>E978*G978</f>
        <v/>
      </c>
      <c r="I978" s="68">
        <f>F978*G978</f>
        <v/>
      </c>
      <c r="J978" s="68">
        <f>SUM(H978:I978)</f>
        <v/>
      </c>
      <c r="K978" s="43" t="n"/>
    </row>
    <row r="979" hidden="1" ht="14.5" customHeight="1">
      <c r="A979" s="35" t="n">
        <v>971</v>
      </c>
      <c r="B979" s="40" t="inlineStr">
        <is>
          <t>J-ODC-LAB</t>
        </is>
      </c>
      <c r="C979" s="36" t="inlineStr">
        <is>
          <t>PELABELAN CORE</t>
        </is>
      </c>
      <c r="D979" s="35" t="inlineStr">
        <is>
          <t>Core</t>
        </is>
      </c>
      <c r="E979" s="42" t="n">
        <v>0</v>
      </c>
      <c r="F979" s="37" t="n">
        <v>2500</v>
      </c>
      <c r="G979" s="68" t="n"/>
      <c r="H979" s="68">
        <f>E979*G979</f>
        <v/>
      </c>
      <c r="I979" s="68">
        <f>F979*G979</f>
        <v/>
      </c>
      <c r="J979" s="68">
        <f>SUM(H979:I979)</f>
        <v/>
      </c>
      <c r="K979" s="43" t="n"/>
    </row>
    <row r="980" hidden="1" ht="14.5" customHeight="1">
      <c r="A980" s="35" t="n">
        <v>972</v>
      </c>
      <c r="B980" s="35" t="inlineStr">
        <is>
          <t>ODC-MSR-CORE</t>
        </is>
      </c>
      <c r="C980" s="36" t="inlineStr">
        <is>
          <t>PENGUKURAN CORE</t>
        </is>
      </c>
      <c r="D980" s="35" t="inlineStr">
        <is>
          <t>Core</t>
        </is>
      </c>
      <c r="E980" s="37" t="n">
        <v>0</v>
      </c>
      <c r="F980" s="37" t="n">
        <v>16060</v>
      </c>
      <c r="G980" s="68" t="n"/>
      <c r="H980" s="68">
        <f>E980*G980</f>
        <v/>
      </c>
      <c r="I980" s="68">
        <f>F980*G980</f>
        <v/>
      </c>
      <c r="J980" s="68">
        <f>SUM(H980:I980)</f>
        <v/>
      </c>
      <c r="K980" s="43" t="n"/>
    </row>
    <row r="981" hidden="1" ht="14.5" customHeight="1">
      <c r="A981" s="35" t="n">
        <v>973</v>
      </c>
      <c r="B981" s="40" t="inlineStr">
        <is>
          <t>J-ODC-MSR-CORE</t>
        </is>
      </c>
      <c r="C981" s="36" t="inlineStr">
        <is>
          <t>PENGUKURAN CORE</t>
        </is>
      </c>
      <c r="D981" s="35" t="inlineStr">
        <is>
          <t>Core</t>
        </is>
      </c>
      <c r="E981" s="42" t="n">
        <v>0</v>
      </c>
      <c r="F981" s="37" t="n">
        <v>16060</v>
      </c>
      <c r="G981" s="68" t="n"/>
      <c r="H981" s="68">
        <f>E981*G981</f>
        <v/>
      </c>
      <c r="I981" s="68">
        <f>F981*G981</f>
        <v/>
      </c>
      <c r="J981" s="68">
        <f>SUM(H981:I981)</f>
        <v/>
      </c>
      <c r="K981" s="43" t="n"/>
    </row>
    <row r="982" hidden="1" ht="14.5" customHeight="1">
      <c r="A982" s="35" t="n">
        <v>974</v>
      </c>
      <c r="B982" s="35" t="inlineStr">
        <is>
          <t>ODC-GRD</t>
        </is>
      </c>
      <c r="C982" s="36" t="inlineStr">
        <is>
          <t>PEMELIHARAAN/PENGUKURAN GROUNDING NODE</t>
        </is>
      </c>
      <c r="D982" s="35" t="inlineStr">
        <is>
          <t>Titik</t>
        </is>
      </c>
      <c r="E982" s="37" t="n">
        <v>0</v>
      </c>
      <c r="F982" s="37" t="n">
        <v>40120</v>
      </c>
      <c r="G982" s="68" t="n"/>
      <c r="H982" s="68">
        <f>E982*G982</f>
        <v/>
      </c>
      <c r="I982" s="68">
        <f>F982*G982</f>
        <v/>
      </c>
      <c r="J982" s="68">
        <f>SUM(H982:I982)</f>
        <v/>
      </c>
      <c r="K982" s="43" t="n"/>
    </row>
    <row r="983" hidden="1" ht="14.5" customHeight="1">
      <c r="A983" s="35" t="n">
        <v>975</v>
      </c>
      <c r="B983" s="40" t="inlineStr">
        <is>
          <t>J-ODC-GRD</t>
        </is>
      </c>
      <c r="C983" s="36" t="inlineStr">
        <is>
          <t>PEMELIHARAAN/PENGUKURAN GROUNDING NODE</t>
        </is>
      </c>
      <c r="D983" s="35" t="inlineStr">
        <is>
          <t>Titik</t>
        </is>
      </c>
      <c r="E983" s="42" t="n">
        <v>0</v>
      </c>
      <c r="F983" s="37" t="n">
        <v>40120</v>
      </c>
      <c r="G983" s="68" t="n"/>
      <c r="H983" s="68">
        <f>E983*G983</f>
        <v/>
      </c>
      <c r="I983" s="68">
        <f>F983*G983</f>
        <v/>
      </c>
      <c r="J983" s="68">
        <f>SUM(H983:I983)</f>
        <v/>
      </c>
      <c r="K983" s="43" t="n"/>
    </row>
    <row r="984" hidden="1" ht="14.5" customHeight="1">
      <c r="A984" s="35" t="n">
        <v>976</v>
      </c>
      <c r="B984" s="35" t="inlineStr">
        <is>
          <t>ODC-SPLT</t>
        </is>
      </c>
      <c r="C984" s="36" t="inlineStr">
        <is>
          <t>PENGECEKAN DAN PEMELIHARAAN SPLITTER</t>
        </is>
      </c>
      <c r="D984" s="35" t="inlineStr">
        <is>
          <t>Unit</t>
        </is>
      </c>
      <c r="E984" s="37" t="n">
        <v>0</v>
      </c>
      <c r="F984" s="37" t="n">
        <v>11620</v>
      </c>
      <c r="G984" s="68" t="n"/>
      <c r="H984" s="68">
        <f>E984*G984</f>
        <v/>
      </c>
      <c r="I984" s="68">
        <f>F984*G984</f>
        <v/>
      </c>
      <c r="J984" s="68">
        <f>SUM(H984:I984)</f>
        <v/>
      </c>
      <c r="K984" s="43" t="n"/>
    </row>
    <row r="985" hidden="1" ht="14.5" customHeight="1">
      <c r="A985" s="35" t="n">
        <v>977</v>
      </c>
      <c r="B985" s="40" t="inlineStr">
        <is>
          <t>J-ODC-SPLT</t>
        </is>
      </c>
      <c r="C985" s="36" t="inlineStr">
        <is>
          <t>PENGECEKAN DAN PEMELIHARAAN SPLITTER</t>
        </is>
      </c>
      <c r="D985" s="35" t="inlineStr">
        <is>
          <t>Unit</t>
        </is>
      </c>
      <c r="E985" s="42" t="n">
        <v>0</v>
      </c>
      <c r="F985" s="37" t="n">
        <v>11620</v>
      </c>
      <c r="G985" s="68" t="n"/>
      <c r="H985" s="68">
        <f>E985*G985</f>
        <v/>
      </c>
      <c r="I985" s="68">
        <f>F985*G985</f>
        <v/>
      </c>
      <c r="J985" s="68">
        <f>SUM(H985:I985)</f>
        <v/>
      </c>
      <c r="K985" s="43" t="n"/>
    </row>
    <row r="986" hidden="1" ht="14.5" customHeight="1">
      <c r="A986" s="35" t="n">
        <v>978</v>
      </c>
      <c r="B986" s="35" t="inlineStr">
        <is>
          <t>ODC-PC</t>
        </is>
      </c>
      <c r="C986" s="36" t="inlineStr">
        <is>
          <t>PERAPIHAN PATCH CORE</t>
        </is>
      </c>
      <c r="D986" s="35" t="inlineStr">
        <is>
          <t>pcs</t>
        </is>
      </c>
      <c r="E986" s="37" t="n">
        <v>0</v>
      </c>
      <c r="F986" s="37" t="n">
        <v>2740</v>
      </c>
      <c r="G986" s="68" t="n"/>
      <c r="H986" s="68">
        <f>E986*G986</f>
        <v/>
      </c>
      <c r="I986" s="68">
        <f>F986*G986</f>
        <v/>
      </c>
      <c r="J986" s="68">
        <f>SUM(H986:I986)</f>
        <v/>
      </c>
      <c r="K986" s="43" t="n"/>
    </row>
    <row r="987" hidden="1" ht="14.5" customHeight="1">
      <c r="A987" s="35" t="n">
        <v>979</v>
      </c>
      <c r="B987" s="40" t="inlineStr">
        <is>
          <t>J-ODC-PC</t>
        </is>
      </c>
      <c r="C987" s="36" t="inlineStr">
        <is>
          <t>PERAPIHAN PATCH CORE</t>
        </is>
      </c>
      <c r="D987" s="35" t="inlineStr">
        <is>
          <t>pcs</t>
        </is>
      </c>
      <c r="E987" s="42" t="n">
        <v>0</v>
      </c>
      <c r="F987" s="37" t="n">
        <v>2740</v>
      </c>
      <c r="G987" s="68" t="n"/>
      <c r="H987" s="68">
        <f>E987*G987</f>
        <v/>
      </c>
      <c r="I987" s="68">
        <f>F987*G987</f>
        <v/>
      </c>
      <c r="J987" s="68">
        <f>SUM(H987:I987)</f>
        <v/>
      </c>
      <c r="K987" s="43" t="n"/>
    </row>
    <row r="988" hidden="1" ht="14.5" customHeight="1">
      <c r="A988" s="35" t="n">
        <v>980</v>
      </c>
      <c r="B988" s="35" t="inlineStr">
        <is>
          <t>ODC-REP</t>
        </is>
      </c>
      <c r="C988" s="36" t="inlineStr">
        <is>
          <t>PENGGANTIAN ODC KONVENSIONAL DENGAN ODC SPLINTER</t>
        </is>
      </c>
      <c r="D988" s="35" t="inlineStr">
        <is>
          <t>Unit</t>
        </is>
      </c>
      <c r="E988" s="37" t="n">
        <v>0</v>
      </c>
      <c r="F988" s="37" t="n">
        <v>2750000</v>
      </c>
      <c r="G988" s="68" t="n"/>
      <c r="H988" s="68">
        <f>E988*G988</f>
        <v/>
      </c>
      <c r="I988" s="68">
        <f>F988*G988</f>
        <v/>
      </c>
      <c r="J988" s="68">
        <f>SUM(H988:I988)</f>
        <v/>
      </c>
      <c r="K988" s="43" t="n"/>
    </row>
    <row r="989" hidden="1" ht="14.5" customHeight="1">
      <c r="A989" s="35" t="n">
        <v>981</v>
      </c>
      <c r="B989" s="40" t="inlineStr">
        <is>
          <t>J-ODC-REP</t>
        </is>
      </c>
      <c r="C989" s="36" t="inlineStr">
        <is>
          <t>PENGGANTIAN ODC KONVENSIONAL DENGAN ODC SPLINTER</t>
        </is>
      </c>
      <c r="D989" s="35" t="inlineStr">
        <is>
          <t>Unit</t>
        </is>
      </c>
      <c r="E989" s="42" t="n">
        <v>0</v>
      </c>
      <c r="F989" s="37" t="n">
        <v>2750000</v>
      </c>
      <c r="G989" s="68" t="n"/>
      <c r="H989" s="68">
        <f>E989*G989</f>
        <v/>
      </c>
      <c r="I989" s="68">
        <f>F989*G989</f>
        <v/>
      </c>
      <c r="J989" s="68">
        <f>SUM(H989:I989)</f>
        <v/>
      </c>
      <c r="K989" s="43" t="n"/>
    </row>
    <row r="990" hidden="1" ht="14.5" customHeight="1">
      <c r="A990" s="35" t="n">
        <v>982</v>
      </c>
      <c r="B990" s="35" t="inlineStr">
        <is>
          <t>ODC-VA-PORT</t>
        </is>
      </c>
      <c r="C990" s="36" t="inlineStr">
        <is>
          <t>VALIDASI PORT ODC</t>
        </is>
      </c>
      <c r="D990" s="35" t="inlineStr">
        <is>
          <t>Port</t>
        </is>
      </c>
      <c r="E990" s="37" t="n">
        <v>0</v>
      </c>
      <c r="F990" s="37" t="n">
        <v>10180</v>
      </c>
      <c r="G990" s="68" t="n"/>
      <c r="H990" s="68">
        <f>E990*G990</f>
        <v/>
      </c>
      <c r="I990" s="68">
        <f>F990*G990</f>
        <v/>
      </c>
      <c r="J990" s="68">
        <f>SUM(H990:I990)</f>
        <v/>
      </c>
      <c r="K990" s="43" t="n"/>
    </row>
    <row r="991" hidden="1" ht="14.5" customHeight="1">
      <c r="A991" s="35" t="n">
        <v>983</v>
      </c>
      <c r="B991" s="40" t="inlineStr">
        <is>
          <t>J-ODC-VA-PORT</t>
        </is>
      </c>
      <c r="C991" s="36" t="inlineStr">
        <is>
          <t>VALIDASI PORT ODC</t>
        </is>
      </c>
      <c r="D991" s="35" t="inlineStr">
        <is>
          <t>Port</t>
        </is>
      </c>
      <c r="E991" s="42" t="n">
        <v>0</v>
      </c>
      <c r="F991" s="37" t="n">
        <v>10180</v>
      </c>
      <c r="G991" s="68" t="n"/>
      <c r="H991" s="68">
        <f>E991*G991</f>
        <v/>
      </c>
      <c r="I991" s="68">
        <f>F991*G991</f>
        <v/>
      </c>
      <c r="J991" s="68">
        <f>SUM(H991:I991)</f>
        <v/>
      </c>
      <c r="K991" s="43" t="n"/>
    </row>
    <row r="992" hidden="1" ht="14.5" customHeight="1">
      <c r="A992" s="35" t="n">
        <v>984</v>
      </c>
      <c r="B992" s="35" t="inlineStr">
        <is>
          <t>ODC-PP</t>
        </is>
      </c>
      <c r="C992" s="36" t="inlineStr">
        <is>
          <t>PEMBONGKARAN ODC KAP 144-288 BERIKUT PATOK PENGAMAN</t>
        </is>
      </c>
      <c r="D992" s="35" t="inlineStr">
        <is>
          <t>Set</t>
        </is>
      </c>
      <c r="E992" s="37" t="n">
        <v>0</v>
      </c>
      <c r="F992" s="37" t="n">
        <v>3740000</v>
      </c>
      <c r="G992" s="68" t="n"/>
      <c r="H992" s="68">
        <f>E992*G992</f>
        <v/>
      </c>
      <c r="I992" s="68">
        <f>F992*G992</f>
        <v/>
      </c>
      <c r="J992" s="68">
        <f>SUM(H992:I992)</f>
        <v/>
      </c>
      <c r="K992" s="43" t="n"/>
    </row>
    <row r="993" hidden="1" ht="14.5" customHeight="1">
      <c r="A993" s="35" t="n">
        <v>985</v>
      </c>
      <c r="B993" s="40" t="inlineStr">
        <is>
          <t>J-ODC-PP</t>
        </is>
      </c>
      <c r="C993" s="36" t="inlineStr">
        <is>
          <t>PEMBONGKARAN ODC KAP 144-288 BERIKUT PATOK PENGAMAN</t>
        </is>
      </c>
      <c r="D993" s="35" t="inlineStr">
        <is>
          <t>Set</t>
        </is>
      </c>
      <c r="E993" s="42" t="n">
        <v>0</v>
      </c>
      <c r="F993" s="37" t="n">
        <v>3740000</v>
      </c>
      <c r="G993" s="68" t="n"/>
      <c r="H993" s="68">
        <f>E993*G993</f>
        <v/>
      </c>
      <c r="I993" s="68">
        <f>F993*G993</f>
        <v/>
      </c>
      <c r="J993" s="68">
        <f>SUM(H993:I993)</f>
        <v/>
      </c>
      <c r="K993" s="43" t="n"/>
    </row>
    <row r="994" hidden="1" ht="43.5" customHeight="1">
      <c r="A994" s="35" t="n">
        <v>986</v>
      </c>
      <c r="B994" s="35" t="inlineStr">
        <is>
          <t>G-ODC-C-48</t>
        </is>
      </c>
      <c r="C994" s="36" t="inlineStr">
        <is>
          <t>PENGGESERAN ODC-POLE (OUTDOOR) KAP 48 CORE (PEMBONGKARAN DAN PEMASANGAN KEMBALI TANPA MERUBAH ATAU MENGGANTI ALPRO) tidak termasuk penyambungan kabel</t>
        </is>
      </c>
      <c r="D994" s="35" t="inlineStr">
        <is>
          <t>Pcs</t>
        </is>
      </c>
      <c r="E994" s="37" t="n">
        <v>0</v>
      </c>
      <c r="F994" s="37" t="n">
        <v>8109030</v>
      </c>
      <c r="G994" s="68" t="n"/>
      <c r="H994" s="68">
        <f>E994*G994</f>
        <v/>
      </c>
      <c r="I994" s="68">
        <f>F994*G994</f>
        <v/>
      </c>
      <c r="J994" s="68">
        <f>SUM(H994:I994)</f>
        <v/>
      </c>
      <c r="K994" s="43" t="n"/>
    </row>
    <row r="995" hidden="1" ht="43.5" customHeight="1">
      <c r="A995" s="35" t="n">
        <v>987</v>
      </c>
      <c r="B995" s="40" t="inlineStr">
        <is>
          <t>J-G-ODC-C-48</t>
        </is>
      </c>
      <c r="C995" s="36" t="inlineStr">
        <is>
          <t>PENGGESERAN ODC-POLE (OUTDOOR) KAP 48 CORE (PEMBONGKARAN DAN PEMASANGAN KEMBALI TANPA MERUBAH ATAU MENGGANTI ALPRO) tidak termasuk penyambungan kabel</t>
        </is>
      </c>
      <c r="D995" s="35" t="inlineStr">
        <is>
          <t>Pcs</t>
        </is>
      </c>
      <c r="E995" s="42" t="n">
        <v>0</v>
      </c>
      <c r="F995" s="37" t="n">
        <v>8109030</v>
      </c>
      <c r="G995" s="68" t="n"/>
      <c r="H995" s="68">
        <f>E995*G995</f>
        <v/>
      </c>
      <c r="I995" s="68">
        <f>F995*G995</f>
        <v/>
      </c>
      <c r="J995" s="68">
        <f>SUM(H995:I995)</f>
        <v/>
      </c>
      <c r="K995" s="43" t="n"/>
    </row>
    <row r="996" hidden="1" ht="43.5" customHeight="1">
      <c r="A996" s="35" t="n">
        <v>988</v>
      </c>
      <c r="B996" s="35" t="inlineStr">
        <is>
          <t>G-ODC-C-144</t>
        </is>
      </c>
      <c r="C996" s="36" t="inlineStr">
        <is>
          <t>PENGGESERAN KABINET ODC (OUTDOOR) KAP 144 CORE (PEMBONGKARAN DAN PEMASANGAN KEMBALI TANPA MERUBAH ATAU MENGGANTI ALPRO) tidak termasuk penyambungan kabel</t>
        </is>
      </c>
      <c r="D996" s="35" t="inlineStr">
        <is>
          <t>Pcs</t>
        </is>
      </c>
      <c r="E996" s="37" t="n">
        <v>0</v>
      </c>
      <c r="F996" s="37" t="n">
        <v>9643700</v>
      </c>
      <c r="G996" s="68" t="n"/>
      <c r="H996" s="68">
        <f>E996*G996</f>
        <v/>
      </c>
      <c r="I996" s="68">
        <f>F996*G996</f>
        <v/>
      </c>
      <c r="J996" s="68">
        <f>SUM(H996:I996)</f>
        <v/>
      </c>
      <c r="K996" s="43" t="n"/>
    </row>
    <row r="997" hidden="1" ht="43.5" customHeight="1">
      <c r="A997" s="35" t="n">
        <v>989</v>
      </c>
      <c r="B997" s="40" t="inlineStr">
        <is>
          <t>J-G-ODC-C-144</t>
        </is>
      </c>
      <c r="C997" s="36" t="inlineStr">
        <is>
          <t>PENGGESERAN KABINET ODC (OUTDOOR) KAP 144 CORE (PEMBONGKARAN DAN PEMASANGAN KEMBALI TANPA MERUBAH ATAU MENGGANTI ALPRO) tidak termasuk penyambungan kabel</t>
        </is>
      </c>
      <c r="D997" s="35" t="inlineStr">
        <is>
          <t>Pcs</t>
        </is>
      </c>
      <c r="E997" s="42" t="n">
        <v>0</v>
      </c>
      <c r="F997" s="37" t="n">
        <v>9643700</v>
      </c>
      <c r="G997" s="68" t="n"/>
      <c r="H997" s="68">
        <f>E997*G997</f>
        <v/>
      </c>
      <c r="I997" s="68">
        <f>F997*G997</f>
        <v/>
      </c>
      <c r="J997" s="68">
        <f>SUM(H997:I997)</f>
        <v/>
      </c>
      <c r="K997" s="43" t="n"/>
    </row>
    <row r="998" hidden="1" ht="43.5" customHeight="1">
      <c r="A998" s="35" t="n">
        <v>990</v>
      </c>
      <c r="B998" s="35" t="inlineStr">
        <is>
          <t>G-ODC-C-288</t>
        </is>
      </c>
      <c r="C998" s="36" t="inlineStr">
        <is>
          <t>PENGGESERAN KABINET ODC (OUTDOOR) KAP 288 CORE (PEMBONGKARAN DAN PEMASANGAN KEMBALI TANPA MERUBAH ATAU MENGGANTI ALPRO) tidak termasuk penyambungan kabel</t>
        </is>
      </c>
      <c r="D998" s="35" t="inlineStr">
        <is>
          <t>Pcs</t>
        </is>
      </c>
      <c r="E998" s="37" t="n">
        <v>0</v>
      </c>
      <c r="F998" s="37" t="n">
        <v>9688250</v>
      </c>
      <c r="G998" s="68" t="n"/>
      <c r="H998" s="68">
        <f>E998*G998</f>
        <v/>
      </c>
      <c r="I998" s="68">
        <f>F998*G998</f>
        <v/>
      </c>
      <c r="J998" s="68">
        <f>SUM(H998:I998)</f>
        <v/>
      </c>
      <c r="K998" s="43" t="n"/>
    </row>
    <row r="999" hidden="1" ht="43.5" customHeight="1">
      <c r="A999" s="35" t="n">
        <v>991</v>
      </c>
      <c r="B999" s="40" t="inlineStr">
        <is>
          <t>J-G-ODC-C-288</t>
        </is>
      </c>
      <c r="C999" s="36" t="inlineStr">
        <is>
          <t>PENGGESERAN KABINET ODC (OUTDOOR) KAP 288 CORE (PEMBONGKARAN DAN PEMASANGAN KEMBALI TANPA MERUBAH ATAU MENGGANTI ALPRO) tidak termasuk penyambungan kabel</t>
        </is>
      </c>
      <c r="D999" s="35" t="inlineStr">
        <is>
          <t>Pcs</t>
        </is>
      </c>
      <c r="E999" s="42" t="n">
        <v>0</v>
      </c>
      <c r="F999" s="37" t="n">
        <v>9688250</v>
      </c>
      <c r="G999" s="68" t="n"/>
      <c r="H999" s="68">
        <f>E999*G999</f>
        <v/>
      </c>
      <c r="I999" s="68">
        <f>F999*G999</f>
        <v/>
      </c>
      <c r="J999" s="68">
        <f>SUM(H999:I999)</f>
        <v/>
      </c>
      <c r="K999" s="43" t="n"/>
    </row>
    <row r="1000" hidden="1" ht="29" customHeight="1">
      <c r="A1000" s="35" t="n">
        <v>992</v>
      </c>
      <c r="B1000" s="35" t="inlineStr">
        <is>
          <t>ODP-CLEAN</t>
        </is>
      </c>
      <c r="C1000" s="36" t="inlineStr">
        <is>
          <t>PEMELIHARAAN/PERAPIHAN/PEMBERSIHAN/(CAT UTK DOME) LUAR-DALAM</t>
        </is>
      </c>
      <c r="D1000" s="35" t="inlineStr">
        <is>
          <t>Unit</t>
        </is>
      </c>
      <c r="E1000" s="37" t="n">
        <v>0</v>
      </c>
      <c r="F1000" s="37" t="n">
        <v>11620</v>
      </c>
      <c r="G1000" s="68" t="n"/>
      <c r="H1000" s="68">
        <f>E1000*G1000</f>
        <v/>
      </c>
      <c r="I1000" s="68">
        <f>F1000*G1000</f>
        <v/>
      </c>
      <c r="J1000" s="68">
        <f>SUM(H1000:I1000)</f>
        <v/>
      </c>
      <c r="K1000" s="43" t="n"/>
    </row>
    <row r="1001" hidden="1" ht="29" customHeight="1">
      <c r="A1001" s="35" t="n">
        <v>993</v>
      </c>
      <c r="B1001" s="40" t="inlineStr">
        <is>
          <t>J-ODP-CLEAN</t>
        </is>
      </c>
      <c r="C1001" s="36" t="inlineStr">
        <is>
          <t>PEMELIHARAAN/PERAPIHAN/PEMBERSIHAN/(CAT UTK DOME) LUAR-DALAM</t>
        </is>
      </c>
      <c r="D1001" s="35" t="inlineStr">
        <is>
          <t>Unit</t>
        </is>
      </c>
      <c r="E1001" s="42" t="n">
        <v>0</v>
      </c>
      <c r="F1001" s="37" t="n">
        <v>11620</v>
      </c>
      <c r="G1001" s="68" t="n"/>
      <c r="H1001" s="68">
        <f>E1001*G1001</f>
        <v/>
      </c>
      <c r="I1001" s="68">
        <f>F1001*G1001</f>
        <v/>
      </c>
      <c r="J1001" s="68">
        <f>SUM(H1001:I1001)</f>
        <v/>
      </c>
      <c r="K1001" s="43" t="n"/>
    </row>
    <row r="1002" hidden="1" ht="14.5" customHeight="1">
      <c r="A1002" s="35" t="n">
        <v>994</v>
      </c>
      <c r="B1002" s="35" t="inlineStr">
        <is>
          <t>ODP-GRD</t>
        </is>
      </c>
      <c r="C1002" s="36" t="inlineStr">
        <is>
          <t>PEMELIHARAAN &amp; PENGUKURAN GROUNDING</t>
        </is>
      </c>
      <c r="D1002" s="35" t="inlineStr">
        <is>
          <t>Unit</t>
        </is>
      </c>
      <c r="E1002" s="37" t="n">
        <v>0</v>
      </c>
      <c r="F1002" s="37" t="n">
        <v>40120</v>
      </c>
      <c r="G1002" s="68" t="n"/>
      <c r="H1002" s="68">
        <f>E1002*G1002</f>
        <v/>
      </c>
      <c r="I1002" s="68">
        <f>F1002*G1002</f>
        <v/>
      </c>
      <c r="J1002" s="68">
        <f>SUM(H1002:I1002)</f>
        <v/>
      </c>
      <c r="K1002" s="43" t="n"/>
    </row>
    <row r="1003" hidden="1" ht="14.5" customHeight="1">
      <c r="A1003" s="35" t="n">
        <v>995</v>
      </c>
      <c r="B1003" s="40" t="inlineStr">
        <is>
          <t>J-ODP-GRD</t>
        </is>
      </c>
      <c r="C1003" s="36" t="inlineStr">
        <is>
          <t>PEMELIHARAAN &amp; PENGUKURAN GROUNDING</t>
        </is>
      </c>
      <c r="D1003" s="35" t="inlineStr">
        <is>
          <t>Unit</t>
        </is>
      </c>
      <c r="E1003" s="42" t="n">
        <v>0</v>
      </c>
      <c r="F1003" s="37" t="n">
        <v>40120</v>
      </c>
      <c r="G1003" s="68" t="n"/>
      <c r="H1003" s="68">
        <f>E1003*G1003</f>
        <v/>
      </c>
      <c r="I1003" s="68">
        <f>F1003*G1003</f>
        <v/>
      </c>
      <c r="J1003" s="68">
        <f>SUM(H1003:I1003)</f>
        <v/>
      </c>
      <c r="K1003" s="43" t="n"/>
    </row>
    <row r="1004" hidden="1" ht="14.5" customHeight="1">
      <c r="A1004" s="35" t="n">
        <v>996</v>
      </c>
      <c r="B1004" s="35" t="inlineStr">
        <is>
          <t>ODP-LAB</t>
        </is>
      </c>
      <c r="C1004" s="36" t="inlineStr">
        <is>
          <t>PELABELAN NAMA ODP</t>
        </is>
      </c>
      <c r="D1004" s="35" t="inlineStr">
        <is>
          <t>Unit</t>
        </is>
      </c>
      <c r="E1004" s="37" t="n">
        <v>0</v>
      </c>
      <c r="F1004" s="37" t="n">
        <v>5510</v>
      </c>
      <c r="G1004" s="68" t="n"/>
      <c r="H1004" s="68">
        <f>E1004*G1004</f>
        <v/>
      </c>
      <c r="I1004" s="68">
        <f>F1004*G1004</f>
        <v/>
      </c>
      <c r="J1004" s="68">
        <f>SUM(H1004:I1004)</f>
        <v/>
      </c>
      <c r="K1004" s="43" t="n"/>
    </row>
    <row r="1005" hidden="1" ht="14.5" customHeight="1">
      <c r="A1005" s="35" t="n">
        <v>997</v>
      </c>
      <c r="B1005" s="40" t="inlineStr">
        <is>
          <t>J-ODP-LAB</t>
        </is>
      </c>
      <c r="C1005" s="36" t="inlineStr">
        <is>
          <t>PELABELAN NAMA ODP</t>
        </is>
      </c>
      <c r="D1005" s="35" t="inlineStr">
        <is>
          <t>Unit</t>
        </is>
      </c>
      <c r="E1005" s="42" t="n">
        <v>0</v>
      </c>
      <c r="F1005" s="37" t="n">
        <v>5510</v>
      </c>
      <c r="G1005" s="68" t="n"/>
      <c r="H1005" s="68">
        <f>E1005*G1005</f>
        <v/>
      </c>
      <c r="I1005" s="68">
        <f>F1005*G1005</f>
        <v/>
      </c>
      <c r="J1005" s="68">
        <f>SUM(H1005:I1005)</f>
        <v/>
      </c>
      <c r="K1005" s="43" t="n"/>
    </row>
    <row r="1006" hidden="1" ht="14.5" customHeight="1">
      <c r="A1006" s="35" t="n">
        <v>998</v>
      </c>
      <c r="B1006" s="35" t="inlineStr">
        <is>
          <t>ODP-TERM</t>
        </is>
      </c>
      <c r="C1006" s="36" t="inlineStr">
        <is>
          <t>PERAPIHAN TERMINASI ODP</t>
        </is>
      </c>
      <c r="D1006" s="35" t="inlineStr">
        <is>
          <t>Unit</t>
        </is>
      </c>
      <c r="E1006" s="37" t="n">
        <v>0</v>
      </c>
      <c r="F1006" s="37" t="n">
        <v>2740</v>
      </c>
      <c r="G1006" s="68" t="n"/>
      <c r="H1006" s="68">
        <f>E1006*G1006</f>
        <v/>
      </c>
      <c r="I1006" s="68">
        <f>F1006*G1006</f>
        <v/>
      </c>
      <c r="J1006" s="68">
        <f>SUM(H1006:I1006)</f>
        <v/>
      </c>
      <c r="K1006" s="43" t="n"/>
    </row>
    <row r="1007" hidden="1" ht="14.5" customHeight="1">
      <c r="A1007" s="35" t="n">
        <v>999</v>
      </c>
      <c r="B1007" s="40" t="inlineStr">
        <is>
          <t>J-ODP-TERM</t>
        </is>
      </c>
      <c r="C1007" s="36" t="inlineStr">
        <is>
          <t>PERAPIHAN TERMINASI ODP</t>
        </is>
      </c>
      <c r="D1007" s="35" t="inlineStr">
        <is>
          <t>Unit</t>
        </is>
      </c>
      <c r="E1007" s="42" t="n">
        <v>0</v>
      </c>
      <c r="F1007" s="37" t="n">
        <v>2740</v>
      </c>
      <c r="G1007" s="68" t="n"/>
      <c r="H1007" s="68">
        <f>E1007*G1007</f>
        <v/>
      </c>
      <c r="I1007" s="68">
        <f>F1007*G1007</f>
        <v/>
      </c>
      <c r="J1007" s="68">
        <f>SUM(H1007:I1007)</f>
        <v/>
      </c>
      <c r="K1007" s="43" t="n"/>
    </row>
    <row r="1008" hidden="1" ht="14.5" customHeight="1">
      <c r="A1008" s="35" t="n">
        <v>1000</v>
      </c>
      <c r="B1008" s="35" t="inlineStr">
        <is>
          <t>ODP-SPL</t>
        </is>
      </c>
      <c r="C1008" s="36" t="inlineStr">
        <is>
          <t>PENGECEKAN DAN PEMELIHARAAN SPLITTER</t>
        </is>
      </c>
      <c r="D1008" s="35" t="inlineStr">
        <is>
          <t>Unit</t>
        </is>
      </c>
      <c r="E1008" s="37" t="n">
        <v>0</v>
      </c>
      <c r="F1008" s="37" t="n">
        <v>11620</v>
      </c>
      <c r="G1008" s="68" t="n"/>
      <c r="H1008" s="68">
        <f>E1008*G1008</f>
        <v/>
      </c>
      <c r="I1008" s="68">
        <f>F1008*G1008</f>
        <v/>
      </c>
      <c r="J1008" s="68">
        <f>SUM(H1008:I1008)</f>
        <v/>
      </c>
      <c r="K1008" s="43" t="n"/>
    </row>
    <row r="1009" hidden="1" ht="14.5" customHeight="1">
      <c r="A1009" s="35" t="n">
        <v>1001</v>
      </c>
      <c r="B1009" s="40" t="inlineStr">
        <is>
          <t>J-ODP-SPL</t>
        </is>
      </c>
      <c r="C1009" s="36" t="inlineStr">
        <is>
          <t>PENGECEKAN DAN PEMELIHARAAN SPLITTER</t>
        </is>
      </c>
      <c r="D1009" s="35" t="inlineStr">
        <is>
          <t>Unit</t>
        </is>
      </c>
      <c r="E1009" s="42" t="n">
        <v>0</v>
      </c>
      <c r="F1009" s="37" t="n">
        <v>11620</v>
      </c>
      <c r="G1009" s="68" t="n"/>
      <c r="H1009" s="68">
        <f>E1009*G1009</f>
        <v/>
      </c>
      <c r="I1009" s="68">
        <f>F1009*G1009</f>
        <v/>
      </c>
      <c r="J1009" s="68">
        <f>SUM(H1009:I1009)</f>
        <v/>
      </c>
      <c r="K1009" s="43" t="n"/>
    </row>
    <row r="1010" hidden="1" ht="14.5" customHeight="1">
      <c r="A1010" s="35" t="n">
        <v>1002</v>
      </c>
      <c r="B1010" s="35" t="inlineStr">
        <is>
          <t>ODP-TIANG</t>
        </is>
      </c>
      <c r="C1010" s="36" t="inlineStr">
        <is>
          <t>PENGECATAN BRANDING TIANG WARNA MERAH SILVER</t>
        </is>
      </c>
      <c r="D1010" s="35" t="inlineStr">
        <is>
          <t>Btg</t>
        </is>
      </c>
      <c r="E1010" s="37" t="n">
        <v>0</v>
      </c>
      <c r="F1010" s="37" t="n">
        <v>18960</v>
      </c>
      <c r="G1010" s="68" t="n"/>
      <c r="H1010" s="68">
        <f>E1010*G1010</f>
        <v/>
      </c>
      <c r="I1010" s="68">
        <f>F1010*G1010</f>
        <v/>
      </c>
      <c r="J1010" s="68">
        <f>SUM(H1010:I1010)</f>
        <v/>
      </c>
      <c r="K1010" s="43" t="n"/>
    </row>
    <row r="1011" hidden="1" ht="14.5" customHeight="1">
      <c r="A1011" s="35" t="n">
        <v>1003</v>
      </c>
      <c r="B1011" s="40" t="inlineStr">
        <is>
          <t>J-ODP-TIANG</t>
        </is>
      </c>
      <c r="C1011" s="36" t="inlineStr">
        <is>
          <t>PENGECATAN BRANDING TIANG WARNA MERAH SILVER</t>
        </is>
      </c>
      <c r="D1011" s="35" t="inlineStr">
        <is>
          <t>Btg</t>
        </is>
      </c>
      <c r="E1011" s="42" t="n">
        <v>0</v>
      </c>
      <c r="F1011" s="37" t="n">
        <v>18960</v>
      </c>
      <c r="G1011" s="68" t="n"/>
      <c r="H1011" s="68">
        <f>E1011*G1011</f>
        <v/>
      </c>
      <c r="I1011" s="68">
        <f>F1011*G1011</f>
        <v/>
      </c>
      <c r="J1011" s="68">
        <f>SUM(H1011:I1011)</f>
        <v/>
      </c>
      <c r="K1011" s="43" t="n"/>
    </row>
    <row r="1012" hidden="1" ht="14.5" customHeight="1">
      <c r="A1012" s="35" t="n">
        <v>1004</v>
      </c>
      <c r="B1012" s="35" t="inlineStr">
        <is>
          <t>ODP-LABEL</t>
        </is>
      </c>
      <c r="C1012" s="36" t="inlineStr">
        <is>
          <t>RE-LABELING ODP</t>
        </is>
      </c>
      <c r="D1012" s="35" t="inlineStr">
        <is>
          <t>Node</t>
        </is>
      </c>
      <c r="E1012" s="37" t="n">
        <v>0</v>
      </c>
      <c r="F1012" s="37" t="n">
        <v>5510</v>
      </c>
      <c r="G1012" s="68" t="n"/>
      <c r="H1012" s="68">
        <f>E1012*G1012</f>
        <v/>
      </c>
      <c r="I1012" s="68">
        <f>F1012*G1012</f>
        <v/>
      </c>
      <c r="J1012" s="68">
        <f>SUM(H1012:I1012)</f>
        <v/>
      </c>
      <c r="K1012" s="43" t="n"/>
    </row>
    <row r="1013" hidden="1" ht="14.5" customHeight="1">
      <c r="A1013" s="35" t="n">
        <v>1005</v>
      </c>
      <c r="B1013" s="40" t="inlineStr">
        <is>
          <t>J-ODP-LABEL</t>
        </is>
      </c>
      <c r="C1013" s="36" t="inlineStr">
        <is>
          <t>RE-LABELING ODP</t>
        </is>
      </c>
      <c r="D1013" s="35" t="inlineStr">
        <is>
          <t>Node</t>
        </is>
      </c>
      <c r="E1013" s="42" t="n">
        <v>0</v>
      </c>
      <c r="F1013" s="37" t="n">
        <v>5510</v>
      </c>
      <c r="G1013" s="68" t="n"/>
      <c r="H1013" s="68">
        <f>E1013*G1013</f>
        <v/>
      </c>
      <c r="I1013" s="68">
        <f>F1013*G1013</f>
        <v/>
      </c>
      <c r="J1013" s="68">
        <f>SUM(H1013:I1013)</f>
        <v/>
      </c>
      <c r="K1013" s="43" t="n"/>
    </row>
    <row r="1014" hidden="1" ht="14.5" customHeight="1">
      <c r="A1014" s="35" t="n">
        <v>1006</v>
      </c>
      <c r="B1014" s="35" t="inlineStr">
        <is>
          <t>ODP-VA-PORT</t>
        </is>
      </c>
      <c r="C1014" s="36" t="inlineStr">
        <is>
          <t>VALIDASI PORT ODP</t>
        </is>
      </c>
      <c r="D1014" s="35" t="inlineStr">
        <is>
          <t>Port</t>
        </is>
      </c>
      <c r="E1014" s="37" t="n">
        <v>0</v>
      </c>
      <c r="F1014" s="37" t="n">
        <v>10180</v>
      </c>
      <c r="G1014" s="68" t="n"/>
      <c r="H1014" s="68">
        <f>E1014*G1014</f>
        <v/>
      </c>
      <c r="I1014" s="68">
        <f>F1014*G1014</f>
        <v/>
      </c>
      <c r="J1014" s="68">
        <f>SUM(H1014:I1014)</f>
        <v/>
      </c>
      <c r="K1014" s="43" t="n"/>
    </row>
    <row r="1015" hidden="1" ht="14.5" customHeight="1">
      <c r="A1015" s="35" t="n">
        <v>1007</v>
      </c>
      <c r="B1015" s="40" t="inlineStr">
        <is>
          <t>J-ODP-VA-PORT</t>
        </is>
      </c>
      <c r="C1015" s="36" t="inlineStr">
        <is>
          <t>VALIDASI PORT ODP</t>
        </is>
      </c>
      <c r="D1015" s="35" t="inlineStr">
        <is>
          <t>Port</t>
        </is>
      </c>
      <c r="E1015" s="42" t="n">
        <v>0</v>
      </c>
      <c r="F1015" s="37" t="n">
        <v>10180</v>
      </c>
      <c r="G1015" s="68" t="n"/>
      <c r="H1015" s="68">
        <f>E1015*G1015</f>
        <v/>
      </c>
      <c r="I1015" s="68">
        <f>F1015*G1015</f>
        <v/>
      </c>
      <c r="J1015" s="68">
        <f>SUM(H1015:I1015)</f>
        <v/>
      </c>
      <c r="K1015" s="43" t="n"/>
    </row>
    <row r="1016" hidden="1" ht="14.5" customHeight="1">
      <c r="A1016" s="35" t="n">
        <v>1008</v>
      </c>
      <c r="B1016" s="35" t="inlineStr">
        <is>
          <t>ODP-LBL-CORE</t>
        </is>
      </c>
      <c r="C1016" s="36" t="inlineStr">
        <is>
          <t>PELABELAN DROP CORE DI PORT SPLITTER</t>
        </is>
      </c>
      <c r="D1016" s="35" t="inlineStr">
        <is>
          <t>Core</t>
        </is>
      </c>
      <c r="E1016" s="37" t="n">
        <v>0</v>
      </c>
      <c r="F1016" s="37" t="n">
        <v>5510</v>
      </c>
      <c r="G1016" s="68" t="n"/>
      <c r="H1016" s="68">
        <f>E1016*G1016</f>
        <v/>
      </c>
      <c r="I1016" s="68">
        <f>F1016*G1016</f>
        <v/>
      </c>
      <c r="J1016" s="68">
        <f>SUM(H1016:I1016)</f>
        <v/>
      </c>
      <c r="K1016" s="43" t="n"/>
    </row>
    <row r="1017" hidden="1" ht="14.5" customHeight="1">
      <c r="A1017" s="35" t="n">
        <v>1009</v>
      </c>
      <c r="B1017" s="40" t="inlineStr">
        <is>
          <t>J-ODP-LBL-CORE</t>
        </is>
      </c>
      <c r="C1017" s="36" t="inlineStr">
        <is>
          <t>PELABELAN DROP CORE DI PORT SPLITTER</t>
        </is>
      </c>
      <c r="D1017" s="35" t="inlineStr">
        <is>
          <t>Core</t>
        </is>
      </c>
      <c r="E1017" s="42" t="n">
        <v>0</v>
      </c>
      <c r="F1017" s="37" t="n">
        <v>5510</v>
      </c>
      <c r="G1017" s="68" t="n"/>
      <c r="H1017" s="68">
        <f>E1017*G1017</f>
        <v/>
      </c>
      <c r="I1017" s="68">
        <f>F1017*G1017</f>
        <v/>
      </c>
      <c r="J1017" s="68">
        <f>SUM(H1017:I1017)</f>
        <v/>
      </c>
      <c r="K1017" s="43" t="n"/>
    </row>
    <row r="1018" hidden="1" ht="29" customHeight="1">
      <c r="A1018" s="35" t="n">
        <v>1010</v>
      </c>
      <c r="B1018" s="35" t="inlineStr">
        <is>
          <t>G-ODP-CA-8</t>
        </is>
      </c>
      <c r="C1018" s="36" t="inlineStr">
        <is>
          <t>PENGGESERAN ODP TYPE CLOSURE AERIAL KAP 8 CORE (TANPA MERUBAH ATAU MENGGANTI ALPRO)</t>
        </is>
      </c>
      <c r="D1018" s="35" t="inlineStr">
        <is>
          <t>Pcs</t>
        </is>
      </c>
      <c r="E1018" s="37" t="n">
        <v>0</v>
      </c>
      <c r="F1018" s="37" t="n">
        <v>286000</v>
      </c>
      <c r="G1018" s="68" t="n"/>
      <c r="H1018" s="68">
        <f>E1018*G1018</f>
        <v/>
      </c>
      <c r="I1018" s="68">
        <f>F1018*G1018</f>
        <v/>
      </c>
      <c r="J1018" s="68">
        <f>SUM(H1018:I1018)</f>
        <v/>
      </c>
      <c r="K1018" s="43" t="n"/>
    </row>
    <row r="1019" hidden="1" ht="29" customHeight="1">
      <c r="A1019" s="35" t="n">
        <v>1011</v>
      </c>
      <c r="B1019" s="40" t="inlineStr">
        <is>
          <t>J-G-ODP-CA-8</t>
        </is>
      </c>
      <c r="C1019" s="36" t="inlineStr">
        <is>
          <t>PENGGESERAN ODP TYPE CLOSURE AERIAL KAP 8 CORE (TANPA MERUBAH ATAU MENGGANTI ALPRO)</t>
        </is>
      </c>
      <c r="D1019" s="35" t="inlineStr">
        <is>
          <t>Pcs</t>
        </is>
      </c>
      <c r="E1019" s="42" t="n">
        <v>0</v>
      </c>
      <c r="F1019" s="37" t="n">
        <v>286000</v>
      </c>
      <c r="G1019" s="68" t="n"/>
      <c r="H1019" s="68">
        <f>E1019*G1019</f>
        <v/>
      </c>
      <c r="I1019" s="68">
        <f>F1019*G1019</f>
        <v/>
      </c>
      <c r="J1019" s="68">
        <f>SUM(H1019:I1019)</f>
        <v/>
      </c>
      <c r="K1019" s="43" t="n"/>
    </row>
    <row r="1020" hidden="1" ht="29" customHeight="1">
      <c r="A1020" s="35" t="n">
        <v>1012</v>
      </c>
      <c r="B1020" s="35" t="inlineStr">
        <is>
          <t>G-ODP-CA-16</t>
        </is>
      </c>
      <c r="C1020" s="36" t="inlineStr">
        <is>
          <t>PENGGESERAN ODP TYPE CLOSURE AERIAL KAP 16 CORE (TANPA MERUBAH ATAU MENGGANTI ALPRO)</t>
        </is>
      </c>
      <c r="D1020" s="35" t="inlineStr">
        <is>
          <t>Pcs</t>
        </is>
      </c>
      <c r="E1020" s="37" t="n">
        <v>0</v>
      </c>
      <c r="F1020" s="37" t="n">
        <v>286000</v>
      </c>
      <c r="G1020" s="68" t="n"/>
      <c r="H1020" s="68">
        <f>E1020*G1020</f>
        <v/>
      </c>
      <c r="I1020" s="68">
        <f>F1020*G1020</f>
        <v/>
      </c>
      <c r="J1020" s="68">
        <f>SUM(H1020:I1020)</f>
        <v/>
      </c>
      <c r="K1020" s="43" t="n"/>
    </row>
    <row r="1021" hidden="1" ht="29" customHeight="1">
      <c r="A1021" s="35" t="n">
        <v>1013</v>
      </c>
      <c r="B1021" s="40" t="inlineStr">
        <is>
          <t>J-G-ODP-CA-16</t>
        </is>
      </c>
      <c r="C1021" s="36" t="inlineStr">
        <is>
          <t>PENGGESERAN ODP TYPE CLOSURE AERIAL KAP 16 CORE (TANPA MERUBAH ATAU MENGGANTI ALPRO)</t>
        </is>
      </c>
      <c r="D1021" s="35" t="inlineStr">
        <is>
          <t>Pcs</t>
        </is>
      </c>
      <c r="E1021" s="42" t="n">
        <v>0</v>
      </c>
      <c r="F1021" s="37" t="n">
        <v>286000</v>
      </c>
      <c r="G1021" s="68" t="n"/>
      <c r="H1021" s="68">
        <f>E1021*G1021</f>
        <v/>
      </c>
      <c r="I1021" s="68">
        <f>F1021*G1021</f>
        <v/>
      </c>
      <c r="J1021" s="68">
        <f>SUM(H1021:I1021)</f>
        <v/>
      </c>
      <c r="K1021" s="43" t="n"/>
    </row>
    <row r="1022" hidden="1" ht="29" customHeight="1">
      <c r="A1022" s="35" t="n">
        <v>1014</v>
      </c>
      <c r="B1022" s="35" t="inlineStr">
        <is>
          <t>G-ODP-A-8</t>
        </is>
      </c>
      <c r="C1022" s="36" t="inlineStr">
        <is>
          <t>PENGGESERAN ODP TYPE INDOOR/WALL KAP 8 CORE (TANPA MERUBAH ATAU MENGGANTI ALPRO)</t>
        </is>
      </c>
      <c r="D1022" s="35" t="inlineStr">
        <is>
          <t>Pcs</t>
        </is>
      </c>
      <c r="E1022" s="37" t="n">
        <v>0</v>
      </c>
      <c r="F1022" s="37" t="n">
        <v>286000</v>
      </c>
      <c r="G1022" s="68" t="n"/>
      <c r="H1022" s="68">
        <f>E1022*G1022</f>
        <v/>
      </c>
      <c r="I1022" s="68">
        <f>F1022*G1022</f>
        <v/>
      </c>
      <c r="J1022" s="68">
        <f>SUM(H1022:I1022)</f>
        <v/>
      </c>
      <c r="K1022" s="43" t="n"/>
    </row>
    <row r="1023" hidden="1" ht="29" customHeight="1">
      <c r="A1023" s="35" t="n">
        <v>1015</v>
      </c>
      <c r="B1023" s="40" t="inlineStr">
        <is>
          <t>J-G-ODP-A-8</t>
        </is>
      </c>
      <c r="C1023" s="36" t="inlineStr">
        <is>
          <t>PENGGESERAN ODP TYPE INDOOR/WALL KAP 8 CORE (TANPA MERUBAH ATAU MENGGANTI ALPRO)</t>
        </is>
      </c>
      <c r="D1023" s="35" t="inlineStr">
        <is>
          <t>Pcs</t>
        </is>
      </c>
      <c r="E1023" s="42" t="n">
        <v>0</v>
      </c>
      <c r="F1023" s="37" t="n">
        <v>286000</v>
      </c>
      <c r="G1023" s="68" t="n"/>
      <c r="H1023" s="68">
        <f>E1023*G1023</f>
        <v/>
      </c>
      <c r="I1023" s="68">
        <f>F1023*G1023</f>
        <v/>
      </c>
      <c r="J1023" s="68">
        <f>SUM(H1023:I1023)</f>
        <v/>
      </c>
      <c r="K1023" s="43" t="n"/>
    </row>
    <row r="1024" hidden="1" ht="29" customHeight="1">
      <c r="A1024" s="35" t="n">
        <v>1016</v>
      </c>
      <c r="B1024" s="35" t="inlineStr">
        <is>
          <t>G-ODP-A-16</t>
        </is>
      </c>
      <c r="C1024" s="36" t="inlineStr">
        <is>
          <t>PENGGESERAN ODP TYPE INDOOR/WALL KAP 16 CORE (TANPA MERUBAH ATAU MENGGANTI ALPRO)</t>
        </is>
      </c>
      <c r="D1024" s="35" t="inlineStr">
        <is>
          <t>Pcs</t>
        </is>
      </c>
      <c r="E1024" s="37" t="n">
        <v>0</v>
      </c>
      <c r="F1024" s="37" t="n">
        <v>286000</v>
      </c>
      <c r="G1024" s="68" t="n"/>
      <c r="H1024" s="68">
        <f>E1024*G1024</f>
        <v/>
      </c>
      <c r="I1024" s="68">
        <f>F1024*G1024</f>
        <v/>
      </c>
      <c r="J1024" s="68">
        <f>SUM(H1024:I1024)</f>
        <v/>
      </c>
      <c r="K1024" s="43" t="n"/>
    </row>
    <row r="1025" hidden="1" ht="29" customHeight="1">
      <c r="A1025" s="35" t="n">
        <v>1017</v>
      </c>
      <c r="B1025" s="40" t="inlineStr">
        <is>
          <t>J-G-ODP-A-16</t>
        </is>
      </c>
      <c r="C1025" s="36" t="inlineStr">
        <is>
          <t>PENGGESERAN ODP TYPE INDOOR/WALL KAP 16 CORE (TANPA MERUBAH ATAU MENGGANTI ALPRO)</t>
        </is>
      </c>
      <c r="D1025" s="35" t="inlineStr">
        <is>
          <t>Pcs</t>
        </is>
      </c>
      <c r="E1025" s="42" t="n">
        <v>0</v>
      </c>
      <c r="F1025" s="37" t="n">
        <v>286000</v>
      </c>
      <c r="G1025" s="68" t="n"/>
      <c r="H1025" s="68">
        <f>E1025*G1025</f>
        <v/>
      </c>
      <c r="I1025" s="68">
        <f>F1025*G1025</f>
        <v/>
      </c>
      <c r="J1025" s="68">
        <f>SUM(H1025:I1025)</f>
        <v/>
      </c>
      <c r="K1025" s="43" t="n"/>
    </row>
    <row r="1026" hidden="1" ht="29" customHeight="1">
      <c r="A1026" s="35" t="n">
        <v>1018</v>
      </c>
      <c r="B1026" s="35" t="inlineStr">
        <is>
          <t>G-ODP-PB-8</t>
        </is>
      </c>
      <c r="C1026" s="36" t="inlineStr">
        <is>
          <t>PENGGESERAN ODP TYPE OUTDOOR/WALL DAN POLE KAP 8 CORE (TANPA MERUBAH ATAU MENGGANTI ALPRO)</t>
        </is>
      </c>
      <c r="D1026" s="35" t="inlineStr">
        <is>
          <t>Pcs</t>
        </is>
      </c>
      <c r="E1026" s="37" t="n">
        <v>0</v>
      </c>
      <c r="F1026" s="37" t="n">
        <v>286000</v>
      </c>
      <c r="G1026" s="68" t="n"/>
      <c r="H1026" s="68">
        <f>E1026*G1026</f>
        <v/>
      </c>
      <c r="I1026" s="68">
        <f>F1026*G1026</f>
        <v/>
      </c>
      <c r="J1026" s="68">
        <f>SUM(H1026:I1026)</f>
        <v/>
      </c>
      <c r="K1026" s="43" t="n"/>
    </row>
    <row r="1027" hidden="1" ht="29" customHeight="1">
      <c r="A1027" s="35" t="n">
        <v>1019</v>
      </c>
      <c r="B1027" s="40" t="inlineStr">
        <is>
          <t>J-G-ODP-PB-8</t>
        </is>
      </c>
      <c r="C1027" s="36" t="inlineStr">
        <is>
          <t>PENGGESERAN ODP TYPE OUTDOOR/WALL DAN POLE KAP 8 CORE (TANPA MERUBAH ATAU MENGGANTI ALPRO)</t>
        </is>
      </c>
      <c r="D1027" s="35" t="inlineStr">
        <is>
          <t>Pcs</t>
        </is>
      </c>
      <c r="E1027" s="42" t="n">
        <v>0</v>
      </c>
      <c r="F1027" s="37" t="n">
        <v>286000</v>
      </c>
      <c r="G1027" s="68" t="n"/>
      <c r="H1027" s="68">
        <f>E1027*G1027</f>
        <v/>
      </c>
      <c r="I1027" s="68">
        <f>F1027*G1027</f>
        <v/>
      </c>
      <c r="J1027" s="68">
        <f>SUM(H1027:I1027)</f>
        <v/>
      </c>
      <c r="K1027" s="43" t="n"/>
    </row>
    <row r="1028" hidden="1" ht="29" customHeight="1">
      <c r="A1028" s="35" t="n">
        <v>1020</v>
      </c>
      <c r="B1028" s="35" t="inlineStr">
        <is>
          <t>G-ODP-PB-16</t>
        </is>
      </c>
      <c r="C1028" s="36" t="inlineStr">
        <is>
          <t>PENGGESERAN ODP TYPE OUTDOOR/WALL DAN POLE KAP 16 CORE (TANPA MERUBAH ATAU MENGGANTI ALPRO)</t>
        </is>
      </c>
      <c r="D1028" s="35" t="inlineStr">
        <is>
          <t>Pcs</t>
        </is>
      </c>
      <c r="E1028" s="37" t="n">
        <v>0</v>
      </c>
      <c r="F1028" s="37" t="n">
        <v>286000</v>
      </c>
      <c r="G1028" s="68" t="n"/>
      <c r="H1028" s="68">
        <f>E1028*G1028</f>
        <v/>
      </c>
      <c r="I1028" s="68">
        <f>F1028*G1028</f>
        <v/>
      </c>
      <c r="J1028" s="68">
        <f>SUM(H1028:I1028)</f>
        <v/>
      </c>
      <c r="K1028" s="43" t="n"/>
    </row>
    <row r="1029" hidden="1" ht="29" customHeight="1">
      <c r="A1029" s="35" t="n">
        <v>1021</v>
      </c>
      <c r="B1029" s="40" t="inlineStr">
        <is>
          <t>J-G-ODP-PB-16</t>
        </is>
      </c>
      <c r="C1029" s="36" t="inlineStr">
        <is>
          <t>PENGGESERAN ODP TYPE OUTDOOR/WALL DAN POLE KAP 16 CORE (TANPA MERUBAH ATAU MENGGANTI ALPRO)</t>
        </is>
      </c>
      <c r="D1029" s="35" t="inlineStr">
        <is>
          <t>Pcs</t>
        </is>
      </c>
      <c r="E1029" s="42" t="n">
        <v>0</v>
      </c>
      <c r="F1029" s="37" t="n">
        <v>286000</v>
      </c>
      <c r="G1029" s="68" t="n"/>
      <c r="H1029" s="68">
        <f>E1029*G1029</f>
        <v/>
      </c>
      <c r="I1029" s="68">
        <f>F1029*G1029</f>
        <v/>
      </c>
      <c r="J1029" s="68">
        <f>SUM(H1029:I1029)</f>
        <v/>
      </c>
      <c r="K1029" s="43" t="n"/>
    </row>
    <row r="1030" hidden="1" ht="29" customHeight="1">
      <c r="A1030" s="35" t="n">
        <v>1022</v>
      </c>
      <c r="B1030" s="35" t="inlineStr">
        <is>
          <t>G-ODP-SOLID-PB-8</t>
        </is>
      </c>
      <c r="C1030" s="36" t="inlineStr">
        <is>
          <t>PENGGESERAN ODP TYPE SOLID KAP 8 CORE (TANPA MERUBAH ATAU MENGGANTI ALPRO)</t>
        </is>
      </c>
      <c r="D1030" s="35" t="inlineStr">
        <is>
          <t>Pcs</t>
        </is>
      </c>
      <c r="E1030" s="37" t="n">
        <v>0</v>
      </c>
      <c r="F1030" s="37" t="n">
        <v>286000</v>
      </c>
      <c r="G1030" s="68" t="n"/>
      <c r="H1030" s="68">
        <f>E1030*G1030</f>
        <v/>
      </c>
      <c r="I1030" s="68">
        <f>F1030*G1030</f>
        <v/>
      </c>
      <c r="J1030" s="68">
        <f>SUM(H1030:I1030)</f>
        <v/>
      </c>
      <c r="K1030" s="43" t="n"/>
    </row>
    <row r="1031" hidden="1" ht="29" customHeight="1">
      <c r="A1031" s="35" t="n">
        <v>1023</v>
      </c>
      <c r="B1031" s="40" t="inlineStr">
        <is>
          <t>J-G-ODP-SOLID-PB-8</t>
        </is>
      </c>
      <c r="C1031" s="36" t="inlineStr">
        <is>
          <t>PENGGESERAN ODP TYPE SOLID KAP 8 CORE (TANPA MERUBAH ATAU MENGGANTI ALPRO)</t>
        </is>
      </c>
      <c r="D1031" s="35" t="inlineStr">
        <is>
          <t>Pcs</t>
        </is>
      </c>
      <c r="E1031" s="42" t="n">
        <v>0</v>
      </c>
      <c r="F1031" s="37" t="n">
        <v>286000</v>
      </c>
      <c r="G1031" s="68" t="n"/>
      <c r="H1031" s="68">
        <f>E1031*G1031</f>
        <v/>
      </c>
      <c r="I1031" s="68">
        <f>F1031*G1031</f>
        <v/>
      </c>
      <c r="J1031" s="68">
        <f>SUM(H1031:I1031)</f>
        <v/>
      </c>
      <c r="K1031" s="43" t="n"/>
    </row>
    <row r="1032" hidden="1" ht="29" customHeight="1">
      <c r="A1032" s="35" t="n">
        <v>1024</v>
      </c>
      <c r="B1032" s="35" t="inlineStr">
        <is>
          <t>G-ODP-SOLID-PB-16</t>
        </is>
      </c>
      <c r="C1032" s="36" t="inlineStr">
        <is>
          <t>PENGGESERAN ODP TYPE SOLID KAP 16 CORE (TANPA MERUBAH ATAU MENGGANTI ALPRO)</t>
        </is>
      </c>
      <c r="D1032" s="35" t="inlineStr">
        <is>
          <t>Pcs</t>
        </is>
      </c>
      <c r="E1032" s="37" t="n">
        <v>0</v>
      </c>
      <c r="F1032" s="37" t="n">
        <v>286000</v>
      </c>
      <c r="G1032" s="68" t="n"/>
      <c r="H1032" s="68">
        <f>E1032*G1032</f>
        <v/>
      </c>
      <c r="I1032" s="68">
        <f>F1032*G1032</f>
        <v/>
      </c>
      <c r="J1032" s="68">
        <f>SUM(H1032:I1032)</f>
        <v/>
      </c>
      <c r="K1032" s="43" t="n"/>
    </row>
    <row r="1033" hidden="1" ht="29" customHeight="1">
      <c r="A1033" s="35" t="n">
        <v>1025</v>
      </c>
      <c r="B1033" s="40" t="inlineStr">
        <is>
          <t>J-G-ODP-SOLID-PB-16</t>
        </is>
      </c>
      <c r="C1033" s="36" t="inlineStr">
        <is>
          <t>PENGGESERAN ODP TYPE SOLID KAP 16 CORE (TANPA MERUBAH ATAU MENGGANTI ALPRO)</t>
        </is>
      </c>
      <c r="D1033" s="35" t="inlineStr">
        <is>
          <t>Pcs</t>
        </is>
      </c>
      <c r="E1033" s="42" t="n">
        <v>0</v>
      </c>
      <c r="F1033" s="37" t="n">
        <v>286000</v>
      </c>
      <c r="G1033" s="68" t="n"/>
      <c r="H1033" s="68">
        <f>E1033*G1033</f>
        <v/>
      </c>
      <c r="I1033" s="68">
        <f>F1033*G1033</f>
        <v/>
      </c>
      <c r="J1033" s="68">
        <f>SUM(H1033:I1033)</f>
        <v/>
      </c>
      <c r="K1033" s="43" t="n"/>
    </row>
    <row r="1034" hidden="1" ht="43.5" customHeight="1">
      <c r="A1034" s="35" t="n">
        <v>1026</v>
      </c>
      <c r="B1034" s="35" t="inlineStr">
        <is>
          <t>G-ODP-PL-8</t>
        </is>
      </c>
      <c r="C1034" s="36" t="inlineStr">
        <is>
          <t>PENGGESERAN ODP ( PILAR ) KAP 8 CORE TERMASUK PIGTAIL (PEMBONGKARAN DAN PEMASANGAN KEMBALI TANPA MERUBAH ATAU MENGGANTI ALPRO)</t>
        </is>
      </c>
      <c r="D1034" s="35" t="inlineStr">
        <is>
          <t>Pcs</t>
        </is>
      </c>
      <c r="E1034" s="37" t="n">
        <v>0</v>
      </c>
      <c r="F1034" s="37" t="n">
        <v>286000</v>
      </c>
      <c r="G1034" s="68" t="n"/>
      <c r="H1034" s="68">
        <f>E1034*G1034</f>
        <v/>
      </c>
      <c r="I1034" s="68">
        <f>F1034*G1034</f>
        <v/>
      </c>
      <c r="J1034" s="68">
        <f>SUM(H1034:I1034)</f>
        <v/>
      </c>
      <c r="K1034" s="43" t="n"/>
    </row>
    <row r="1035" hidden="1" ht="43.5" customHeight="1">
      <c r="A1035" s="35" t="n">
        <v>1027</v>
      </c>
      <c r="B1035" s="40" t="inlineStr">
        <is>
          <t>J-G-ODP-PL-8</t>
        </is>
      </c>
      <c r="C1035" s="36" t="inlineStr">
        <is>
          <t>PENGGESERAN ODP ( PILAR ) KAP 8 CORE TERMASUK PIGTAIL (PEMBONGKARAN DAN PEMASANGAN KEMBALI TANPA MERUBAH ATAU MENGGANTI ALPRO)</t>
        </is>
      </c>
      <c r="D1035" s="35" t="inlineStr">
        <is>
          <t>Pcs</t>
        </is>
      </c>
      <c r="E1035" s="42" t="n">
        <v>0</v>
      </c>
      <c r="F1035" s="37" t="n">
        <v>286000</v>
      </c>
      <c r="G1035" s="68" t="n"/>
      <c r="H1035" s="68">
        <f>E1035*G1035</f>
        <v/>
      </c>
      <c r="I1035" s="68">
        <f>F1035*G1035</f>
        <v/>
      </c>
      <c r="J1035" s="68">
        <f>SUM(H1035:I1035)</f>
        <v/>
      </c>
      <c r="K1035" s="43" t="n"/>
    </row>
    <row r="1036" hidden="1" ht="43.5" customHeight="1">
      <c r="A1036" s="35" t="n">
        <v>1028</v>
      </c>
      <c r="B1036" s="35" t="inlineStr">
        <is>
          <t>G-ODP-PL-16</t>
        </is>
      </c>
      <c r="C1036" s="36" t="inlineStr">
        <is>
          <t>PENGGESERAN ODP ( PILAR ) KAP 16 CORE TERMASUK PIGTAIL (PEMBONGKARAN DAN PEMASANGAN KEMBALI TANPA MERUBAH ATAU MENGGANTI ALPRO)</t>
        </is>
      </c>
      <c r="D1036" s="35" t="inlineStr">
        <is>
          <t>Pcs</t>
        </is>
      </c>
      <c r="E1036" s="37" t="n">
        <v>0</v>
      </c>
      <c r="F1036" s="37" t="n">
        <v>286000</v>
      </c>
      <c r="G1036" s="68" t="n"/>
      <c r="H1036" s="68">
        <f>E1036*G1036</f>
        <v/>
      </c>
      <c r="I1036" s="68">
        <f>F1036*G1036</f>
        <v/>
      </c>
      <c r="J1036" s="68">
        <f>SUM(H1036:I1036)</f>
        <v/>
      </c>
      <c r="K1036" s="43" t="n"/>
    </row>
    <row r="1037" hidden="1" ht="43.5" customHeight="1">
      <c r="A1037" s="35" t="n">
        <v>1029</v>
      </c>
      <c r="B1037" s="40" t="inlineStr">
        <is>
          <t>J-G-ODP-PL-16</t>
        </is>
      </c>
      <c r="C1037" s="36" t="inlineStr">
        <is>
          <t>PENGGESERAN ODP ( PILAR ) KAP 16 CORE TERMASUK PIGTAIL (PEMBONGKARAN DAN PEMASANGAN KEMBALI TANPA MERUBAH ATAU MENGGANTI ALPRO)</t>
        </is>
      </c>
      <c r="D1037" s="35" t="inlineStr">
        <is>
          <t>Pcs</t>
        </is>
      </c>
      <c r="E1037" s="42" t="n">
        <v>0</v>
      </c>
      <c r="F1037" s="37" t="n">
        <v>286000</v>
      </c>
      <c r="G1037" s="68" t="n"/>
      <c r="H1037" s="68">
        <f>E1037*G1037</f>
        <v/>
      </c>
      <c r="I1037" s="68">
        <f>F1037*G1037</f>
        <v/>
      </c>
      <c r="J1037" s="68">
        <f>SUM(H1037:I1037)</f>
        <v/>
      </c>
      <c r="K1037" s="43" t="n"/>
    </row>
    <row r="1038" hidden="1" ht="29" customHeight="1">
      <c r="A1038" s="35" t="n">
        <v>1030</v>
      </c>
      <c r="B1038" s="35" t="inlineStr">
        <is>
          <t>DC-SBG</t>
        </is>
      </c>
      <c r="C1038" s="36" t="inlineStr">
        <is>
          <t>PENYAMBUNGAN DROP CABLE FO SINGLE MODE KAP 1 CORE DENGAN CARA FUSION SPLICE TERMASUK HEAT-STRINK</t>
        </is>
      </c>
      <c r="D1038" s="35" t="inlineStr">
        <is>
          <t>Core</t>
        </is>
      </c>
      <c r="E1038" s="37" t="n">
        <v>0</v>
      </c>
      <c r="F1038" s="37" t="n">
        <v>52382</v>
      </c>
      <c r="G1038" s="68" t="n"/>
      <c r="H1038" s="68">
        <f>E1038*G1038</f>
        <v/>
      </c>
      <c r="I1038" s="68">
        <f>F1038*G1038</f>
        <v/>
      </c>
      <c r="J1038" s="68">
        <f>SUM(H1038:I1038)</f>
        <v/>
      </c>
      <c r="K1038" s="43" t="n"/>
    </row>
    <row r="1039" hidden="1" ht="29" customHeight="1">
      <c r="A1039" s="35" t="n">
        <v>1031</v>
      </c>
      <c r="B1039" s="40" t="inlineStr">
        <is>
          <t>J-DC-SBG</t>
        </is>
      </c>
      <c r="C1039" s="36" t="inlineStr">
        <is>
          <t>PENYAMBUNGAN DROP CABLE FO SINGLE MODE KAP 1 CORE DENGAN CARA FUSION SPLICE TERMASUK HEAT-STRINK</t>
        </is>
      </c>
      <c r="D1039" s="35" t="inlineStr">
        <is>
          <t>Core</t>
        </is>
      </c>
      <c r="E1039" s="42" t="n">
        <v>0</v>
      </c>
      <c r="F1039" s="37" t="n">
        <v>52382</v>
      </c>
      <c r="G1039" s="68" t="n"/>
      <c r="H1039" s="68">
        <f>E1039*G1039</f>
        <v/>
      </c>
      <c r="I1039" s="68">
        <f>F1039*G1039</f>
        <v/>
      </c>
      <c r="J1039" s="68">
        <f>SUM(H1039:I1039)</f>
        <v/>
      </c>
      <c r="K1039" s="43" t="n"/>
    </row>
    <row r="1040" hidden="1" ht="14.5" customHeight="1">
      <c r="A1040" s="35" t="n">
        <v>1032</v>
      </c>
      <c r="B1040" s="35" t="inlineStr">
        <is>
          <t>NE-MS-LAB</t>
        </is>
      </c>
      <c r="C1040" s="36" t="inlineStr">
        <is>
          <t>PELABELAN CORE</t>
        </is>
      </c>
      <c r="D1040" s="35" t="inlineStr">
        <is>
          <t>Core</t>
        </is>
      </c>
      <c r="E1040" s="37" t="n">
        <v>0</v>
      </c>
      <c r="F1040" s="37" t="n">
        <v>2500</v>
      </c>
      <c r="G1040" s="68" t="n"/>
      <c r="H1040" s="68">
        <f>E1040*G1040</f>
        <v/>
      </c>
      <c r="I1040" s="68">
        <f>F1040*G1040</f>
        <v/>
      </c>
      <c r="J1040" s="68">
        <f>SUM(H1040:I1040)</f>
        <v/>
      </c>
      <c r="K1040" s="43" t="n"/>
    </row>
    <row r="1041" hidden="1" ht="14.5" customHeight="1">
      <c r="A1041" s="35" t="n">
        <v>1033</v>
      </c>
      <c r="B1041" s="40" t="inlineStr">
        <is>
          <t>J-NE-MS-LAB</t>
        </is>
      </c>
      <c r="C1041" s="36" t="inlineStr">
        <is>
          <t>PELABELAN CORE</t>
        </is>
      </c>
      <c r="D1041" s="35" t="inlineStr">
        <is>
          <t>Core</t>
        </is>
      </c>
      <c r="E1041" s="42" t="n">
        <v>0</v>
      </c>
      <c r="F1041" s="37" t="n">
        <v>2500</v>
      </c>
      <c r="G1041" s="68" t="n"/>
      <c r="H1041" s="68">
        <f>E1041*G1041</f>
        <v/>
      </c>
      <c r="I1041" s="68">
        <f>F1041*G1041</f>
        <v/>
      </c>
      <c r="J1041" s="68">
        <f>SUM(H1041:I1041)</f>
        <v/>
      </c>
      <c r="K1041" s="43" t="n"/>
    </row>
    <row r="1042" hidden="1" ht="14.5" customHeight="1">
      <c r="A1042" s="35" t="n">
        <v>1034</v>
      </c>
      <c r="B1042" s="35" t="inlineStr">
        <is>
          <t>NE-MS-GRD</t>
        </is>
      </c>
      <c r="C1042" s="36" t="inlineStr">
        <is>
          <t>PEMELIHARAAN/PENGUKURAN GROUNDING NODE</t>
        </is>
      </c>
      <c r="D1042" s="35" t="inlineStr">
        <is>
          <t>Titik</t>
        </is>
      </c>
      <c r="E1042" s="37" t="n">
        <v>0</v>
      </c>
      <c r="F1042" s="37" t="n">
        <v>40120</v>
      </c>
      <c r="G1042" s="68" t="n"/>
      <c r="H1042" s="68">
        <f>E1042*G1042</f>
        <v/>
      </c>
      <c r="I1042" s="68">
        <f>F1042*G1042</f>
        <v/>
      </c>
      <c r="J1042" s="68">
        <f>SUM(H1042:I1042)</f>
        <v/>
      </c>
      <c r="K1042" s="43" t="n"/>
    </row>
    <row r="1043" hidden="1" ht="14.5" customHeight="1">
      <c r="A1043" s="35" t="n">
        <v>1035</v>
      </c>
      <c r="B1043" s="40" t="inlineStr">
        <is>
          <t>J-NE-MS-GRD</t>
        </is>
      </c>
      <c r="C1043" s="36" t="inlineStr">
        <is>
          <t>PEMELIHARAAN/PENGUKURAN GROUNDING NODE</t>
        </is>
      </c>
      <c r="D1043" s="35" t="inlineStr">
        <is>
          <t>Titik</t>
        </is>
      </c>
      <c r="E1043" s="42" t="n">
        <v>0</v>
      </c>
      <c r="F1043" s="37" t="n">
        <v>40120</v>
      </c>
      <c r="G1043" s="68" t="n"/>
      <c r="H1043" s="68">
        <f>E1043*G1043</f>
        <v/>
      </c>
      <c r="I1043" s="68">
        <f>F1043*G1043</f>
        <v/>
      </c>
      <c r="J1043" s="68">
        <f>SUM(H1043:I1043)</f>
        <v/>
      </c>
      <c r="K1043" s="43" t="n"/>
    </row>
    <row r="1044" hidden="1" ht="14.5" customHeight="1">
      <c r="A1044" s="35" t="n">
        <v>1036</v>
      </c>
      <c r="B1044" s="35" t="inlineStr">
        <is>
          <t>NE-MS-PC</t>
        </is>
      </c>
      <c r="C1044" s="36" t="inlineStr">
        <is>
          <t>PERAPIHAN PATCH CORE</t>
        </is>
      </c>
      <c r="D1044" s="35" t="inlineStr">
        <is>
          <t>Mtr</t>
        </is>
      </c>
      <c r="E1044" s="37" t="n">
        <v>0</v>
      </c>
      <c r="F1044" s="37" t="n">
        <v>2740</v>
      </c>
      <c r="G1044" s="68" t="n"/>
      <c r="H1044" s="68">
        <f>E1044*G1044</f>
        <v/>
      </c>
      <c r="I1044" s="68">
        <f>F1044*G1044</f>
        <v/>
      </c>
      <c r="J1044" s="68">
        <f>SUM(H1044:I1044)</f>
        <v/>
      </c>
      <c r="K1044" s="43" t="n"/>
    </row>
    <row r="1045" hidden="1" ht="14.5" customHeight="1">
      <c r="A1045" s="35" t="n">
        <v>1037</v>
      </c>
      <c r="B1045" s="40" t="inlineStr">
        <is>
          <t>J-NE-MS-PC</t>
        </is>
      </c>
      <c r="C1045" s="36" t="inlineStr">
        <is>
          <t>PERAPIHAN PATCH CORE</t>
        </is>
      </c>
      <c r="D1045" s="35" t="inlineStr">
        <is>
          <t>Mtr</t>
        </is>
      </c>
      <c r="E1045" s="42" t="n">
        <v>0</v>
      </c>
      <c r="F1045" s="37" t="n">
        <v>2740</v>
      </c>
      <c r="G1045" s="68" t="n"/>
      <c r="H1045" s="68">
        <f>E1045*G1045</f>
        <v/>
      </c>
      <c r="I1045" s="68">
        <f>F1045*G1045</f>
        <v/>
      </c>
      <c r="J1045" s="68">
        <f>SUM(H1045:I1045)</f>
        <v/>
      </c>
      <c r="K1045" s="43" t="n"/>
    </row>
    <row r="1046" hidden="1" ht="14.5" customHeight="1">
      <c r="A1046" s="35" t="n">
        <v>1038</v>
      </c>
      <c r="B1046" s="35" t="inlineStr">
        <is>
          <t>NE-MS-RECT</t>
        </is>
      </c>
      <c r="C1046" s="36" t="inlineStr">
        <is>
          <t>PENGUKURAN DAN PEMELIHARAAN RECTIFIER</t>
        </is>
      </c>
      <c r="D1046" s="35" t="inlineStr">
        <is>
          <t>Set</t>
        </is>
      </c>
      <c r="E1046" s="37" t="n">
        <v>0</v>
      </c>
      <c r="F1046" s="37" t="n">
        <v>33180</v>
      </c>
      <c r="G1046" s="68" t="n"/>
      <c r="H1046" s="68">
        <f>E1046*G1046</f>
        <v/>
      </c>
      <c r="I1046" s="68">
        <f>F1046*G1046</f>
        <v/>
      </c>
      <c r="J1046" s="68">
        <f>SUM(H1046:I1046)</f>
        <v/>
      </c>
      <c r="K1046" s="43" t="n"/>
    </row>
    <row r="1047" hidden="1" ht="14.5" customHeight="1">
      <c r="A1047" s="35" t="n">
        <v>1039</v>
      </c>
      <c r="B1047" s="40" t="inlineStr">
        <is>
          <t>J-NE-MS-RECT</t>
        </is>
      </c>
      <c r="C1047" s="36" t="inlineStr">
        <is>
          <t>PENGUKURAN DAN PEMELIHARAAN RECTIFIER</t>
        </is>
      </c>
      <c r="D1047" s="35" t="inlineStr">
        <is>
          <t>Set</t>
        </is>
      </c>
      <c r="E1047" s="42" t="n">
        <v>0</v>
      </c>
      <c r="F1047" s="37" t="n">
        <v>33180</v>
      </c>
      <c r="G1047" s="68" t="n"/>
      <c r="H1047" s="68">
        <f>E1047*G1047</f>
        <v/>
      </c>
      <c r="I1047" s="68">
        <f>F1047*G1047</f>
        <v/>
      </c>
      <c r="J1047" s="68">
        <f>SUM(H1047:I1047)</f>
        <v/>
      </c>
      <c r="K1047" s="43" t="n"/>
    </row>
    <row r="1048" hidden="1" ht="14.5" customHeight="1">
      <c r="A1048" s="35" t="n">
        <v>1040</v>
      </c>
      <c r="B1048" s="35" t="inlineStr">
        <is>
          <t>NE-MS-FAN</t>
        </is>
      </c>
      <c r="C1048" s="36" t="inlineStr">
        <is>
          <t>PEMBERSIHAN DAN PENGECEKAN FAN/KIPAS</t>
        </is>
      </c>
      <c r="D1048" s="35" t="inlineStr">
        <is>
          <t>Unit</t>
        </is>
      </c>
      <c r="E1048" s="37" t="n">
        <v>0</v>
      </c>
      <c r="F1048" s="37" t="n">
        <v>11620</v>
      </c>
      <c r="G1048" s="68" t="n"/>
      <c r="H1048" s="68">
        <f>E1048*G1048</f>
        <v/>
      </c>
      <c r="I1048" s="68">
        <f>F1048*G1048</f>
        <v/>
      </c>
      <c r="J1048" s="68">
        <f>SUM(H1048:I1048)</f>
        <v/>
      </c>
      <c r="K1048" s="43" t="n"/>
    </row>
    <row r="1049" hidden="1" ht="14.5" customHeight="1">
      <c r="A1049" s="35" t="n">
        <v>1041</v>
      </c>
      <c r="B1049" s="40" t="inlineStr">
        <is>
          <t>J-NE-MS-FAN</t>
        </is>
      </c>
      <c r="C1049" s="36" t="inlineStr">
        <is>
          <t>PEMBERSIHAN DAN PENGECEKAN FAN/KIPAS</t>
        </is>
      </c>
      <c r="D1049" s="35" t="inlineStr">
        <is>
          <t>Unit</t>
        </is>
      </c>
      <c r="E1049" s="42" t="n">
        <v>0</v>
      </c>
      <c r="F1049" s="37" t="n">
        <v>11620</v>
      </c>
      <c r="G1049" s="68" t="n"/>
      <c r="H1049" s="68">
        <f>E1049*G1049</f>
        <v/>
      </c>
      <c r="I1049" s="68">
        <f>F1049*G1049</f>
        <v/>
      </c>
      <c r="J1049" s="68">
        <f>SUM(H1049:I1049)</f>
        <v/>
      </c>
      <c r="K1049" s="43" t="n"/>
    </row>
    <row r="1050" hidden="1" ht="14.5" customHeight="1">
      <c r="A1050" s="35" t="n">
        <v>1042</v>
      </c>
      <c r="B1050" s="35" t="inlineStr">
        <is>
          <t>NE-MS-ALARM</t>
        </is>
      </c>
      <c r="C1050" s="36" t="inlineStr">
        <is>
          <t>PENGECEKAN ALARM</t>
        </is>
      </c>
      <c r="D1050" s="35" t="inlineStr">
        <is>
          <t>Set</t>
        </is>
      </c>
      <c r="E1050" s="37" t="n">
        <v>0</v>
      </c>
      <c r="F1050" s="37" t="n">
        <v>10950</v>
      </c>
      <c r="G1050" s="68" t="n"/>
      <c r="H1050" s="68">
        <f>E1050*G1050</f>
        <v/>
      </c>
      <c r="I1050" s="68">
        <f>F1050*G1050</f>
        <v/>
      </c>
      <c r="J1050" s="68">
        <f>SUM(H1050:I1050)</f>
        <v/>
      </c>
      <c r="K1050" s="43" t="n"/>
    </row>
    <row r="1051" hidden="1" ht="14.5" customHeight="1">
      <c r="A1051" s="35" t="n">
        <v>1043</v>
      </c>
      <c r="B1051" s="40" t="inlineStr">
        <is>
          <t>J-NE-MS-ALARM</t>
        </is>
      </c>
      <c r="C1051" s="36" t="inlineStr">
        <is>
          <t>PENGECEKAN ALARM</t>
        </is>
      </c>
      <c r="D1051" s="35" t="inlineStr">
        <is>
          <t>Set</t>
        </is>
      </c>
      <c r="E1051" s="42" t="n">
        <v>0</v>
      </c>
      <c r="F1051" s="37" t="n">
        <v>10950</v>
      </c>
      <c r="G1051" s="68" t="n"/>
      <c r="H1051" s="68">
        <f>E1051*G1051</f>
        <v/>
      </c>
      <c r="I1051" s="68">
        <f>F1051*G1051</f>
        <v/>
      </c>
      <c r="J1051" s="68">
        <f>SUM(H1051:I1051)</f>
        <v/>
      </c>
      <c r="K1051" s="43" t="n"/>
    </row>
    <row r="1052" hidden="1" ht="14.5" customHeight="1">
      <c r="A1052" s="35" t="n">
        <v>1044</v>
      </c>
      <c r="B1052" s="35" t="inlineStr">
        <is>
          <t>NE-MS-TEMP</t>
        </is>
      </c>
      <c r="C1052" s="36" t="inlineStr">
        <is>
          <t>PENGECEKAN SUHU DAN KELEMBABAN KABINET</t>
        </is>
      </c>
      <c r="D1052" s="35" t="inlineStr">
        <is>
          <t>Node</t>
        </is>
      </c>
      <c r="E1052" s="37" t="n">
        <v>0</v>
      </c>
      <c r="F1052" s="37" t="n">
        <v>10950</v>
      </c>
      <c r="G1052" s="68" t="n"/>
      <c r="H1052" s="68">
        <f>E1052*G1052</f>
        <v/>
      </c>
      <c r="I1052" s="68">
        <f>F1052*G1052</f>
        <v/>
      </c>
      <c r="J1052" s="68">
        <f>SUM(H1052:I1052)</f>
        <v/>
      </c>
      <c r="K1052" s="43" t="n"/>
    </row>
    <row r="1053" hidden="1" ht="14.5" customHeight="1">
      <c r="A1053" s="35" t="n">
        <v>1045</v>
      </c>
      <c r="B1053" s="40" t="inlineStr">
        <is>
          <t>J-NE-MS-TEMP</t>
        </is>
      </c>
      <c r="C1053" s="36" t="inlineStr">
        <is>
          <t>PENGECEKAN SUHU DAN KELEMBABAN KABINET</t>
        </is>
      </c>
      <c r="D1053" s="35" t="inlineStr">
        <is>
          <t>Node</t>
        </is>
      </c>
      <c r="E1053" s="42" t="n">
        <v>0</v>
      </c>
      <c r="F1053" s="37" t="n">
        <v>10950</v>
      </c>
      <c r="G1053" s="68" t="n"/>
      <c r="H1053" s="68">
        <f>E1053*G1053</f>
        <v/>
      </c>
      <c r="I1053" s="68">
        <f>F1053*G1053</f>
        <v/>
      </c>
      <c r="J1053" s="68">
        <f>SUM(H1053:I1053)</f>
        <v/>
      </c>
      <c r="K1053" s="43" t="n"/>
    </row>
    <row r="1054" hidden="1" ht="14.5" customHeight="1">
      <c r="A1054" s="35" t="n">
        <v>1046</v>
      </c>
      <c r="B1054" s="35" t="inlineStr">
        <is>
          <t>NE-MS-BATT</t>
        </is>
      </c>
      <c r="C1054" s="36" t="inlineStr">
        <is>
          <t>PENGUKURAN DAN PEMELIHARAAN BATERAI</t>
        </is>
      </c>
      <c r="D1054" s="35" t="inlineStr">
        <is>
          <t>Bank</t>
        </is>
      </c>
      <c r="E1054" s="37" t="n">
        <v>0</v>
      </c>
      <c r="F1054" s="37" t="n">
        <v>42660</v>
      </c>
      <c r="G1054" s="68" t="n"/>
      <c r="H1054" s="68">
        <f>E1054*G1054</f>
        <v/>
      </c>
      <c r="I1054" s="68">
        <f>F1054*G1054</f>
        <v/>
      </c>
      <c r="J1054" s="68">
        <f>SUM(H1054:I1054)</f>
        <v/>
      </c>
      <c r="K1054" s="43" t="n"/>
    </row>
    <row r="1055" hidden="1" ht="14.5" customHeight="1">
      <c r="A1055" s="35" t="n">
        <v>1047</v>
      </c>
      <c r="B1055" s="40" t="inlineStr">
        <is>
          <t>J-NE-MS-BATT</t>
        </is>
      </c>
      <c r="C1055" s="36" t="inlineStr">
        <is>
          <t>PENGUKURAN DAN PEMELIHARAAN BATERAI</t>
        </is>
      </c>
      <c r="D1055" s="35" t="inlineStr">
        <is>
          <t>Bank</t>
        </is>
      </c>
      <c r="E1055" s="42" t="n">
        <v>0</v>
      </c>
      <c r="F1055" s="37" t="n">
        <v>42660</v>
      </c>
      <c r="G1055" s="68" t="n"/>
      <c r="H1055" s="68">
        <f>E1055*G1055</f>
        <v/>
      </c>
      <c r="I1055" s="68">
        <f>F1055*G1055</f>
        <v/>
      </c>
      <c r="J1055" s="68">
        <f>SUM(H1055:I1055)</f>
        <v/>
      </c>
      <c r="K1055" s="43" t="n"/>
    </row>
    <row r="1056" hidden="1" ht="29" customHeight="1">
      <c r="A1056" s="35" t="n">
        <v>1048</v>
      </c>
      <c r="B1056" s="35" t="inlineStr">
        <is>
          <t>NE-MS-CD</t>
        </is>
      </c>
      <c r="C1056" s="36" t="inlineStr">
        <is>
          <t>PENGUKURAN CATU DAYA PLN DAN KWH METER SERTA VALIDASI TOKEN</t>
        </is>
      </c>
      <c r="D1056" s="35" t="inlineStr">
        <is>
          <t>Node</t>
        </is>
      </c>
      <c r="E1056" s="37" t="n">
        <v>0</v>
      </c>
      <c r="F1056" s="37" t="n">
        <v>33180</v>
      </c>
      <c r="G1056" s="68" t="n"/>
      <c r="H1056" s="68">
        <f>E1056*G1056</f>
        <v/>
      </c>
      <c r="I1056" s="68">
        <f>F1056*G1056</f>
        <v/>
      </c>
      <c r="J1056" s="68">
        <f>SUM(H1056:I1056)</f>
        <v/>
      </c>
      <c r="K1056" s="43" t="n"/>
    </row>
    <row r="1057" hidden="1" ht="29" customHeight="1">
      <c r="A1057" s="35" t="n">
        <v>1049</v>
      </c>
      <c r="B1057" s="40" t="inlineStr">
        <is>
          <t>J-NE-MS-CD</t>
        </is>
      </c>
      <c r="C1057" s="36" t="inlineStr">
        <is>
          <t>PENGUKURAN CATU DAYA PLN DAN KWH METER SERTA VALIDASI TOKEN</t>
        </is>
      </c>
      <c r="D1057" s="35" t="inlineStr">
        <is>
          <t>Node</t>
        </is>
      </c>
      <c r="E1057" s="42" t="n">
        <v>0</v>
      </c>
      <c r="F1057" s="37" t="n">
        <v>33180</v>
      </c>
      <c r="G1057" s="68" t="n"/>
      <c r="H1057" s="68">
        <f>E1057*G1057</f>
        <v/>
      </c>
      <c r="I1057" s="68">
        <f>F1057*G1057</f>
        <v/>
      </c>
      <c r="J1057" s="68">
        <f>SUM(H1057:I1057)</f>
        <v/>
      </c>
      <c r="K1057" s="43" t="n"/>
    </row>
    <row r="1058" hidden="1" ht="43.5" customHeight="1">
      <c r="A1058" s="35" t="n">
        <v>1050</v>
      </c>
      <c r="B1058" s="35" t="inlineStr">
        <is>
          <t>NE-MS-MODDELV</t>
        </is>
      </c>
      <c r="C1058" s="36" t="inlineStr">
        <is>
          <t>PENGIRIMAN DAN PENGAMBILAN MODULE PERANGKAT AKTIF YG RUSAK/TERGANGGU DARI WAREHOUSE KE LOKASI GANGGUAN DAN SEBALIKNYA TANPA MELAKSANAKAN KEGIATAN LOGIC</t>
        </is>
      </c>
      <c r="D1058" s="35" t="inlineStr">
        <is>
          <t>Unit</t>
        </is>
      </c>
      <c r="E1058" s="37" t="n">
        <v>0</v>
      </c>
      <c r="F1058" s="37" t="n">
        <v>90060</v>
      </c>
      <c r="G1058" s="68" t="n"/>
      <c r="H1058" s="68">
        <f>E1058*G1058</f>
        <v/>
      </c>
      <c r="I1058" s="68">
        <f>F1058*G1058</f>
        <v/>
      </c>
      <c r="J1058" s="68">
        <f>SUM(H1058:I1058)</f>
        <v/>
      </c>
      <c r="K1058" s="43" t="n"/>
    </row>
    <row r="1059" hidden="1" ht="43.5" customHeight="1">
      <c r="A1059" s="35" t="n">
        <v>1051</v>
      </c>
      <c r="B1059" s="40" t="inlineStr">
        <is>
          <t>J-NE-MS-MODDELV</t>
        </is>
      </c>
      <c r="C1059" s="36" t="inlineStr">
        <is>
          <t>PENGIRIMAN DAN PENGAMBILAN MODULE PERANGKAT AKTIF YG RUSAK/TERGANGGU DARI WAREHOUSE KE LOKASI GANGGUAN DAN SEBALIKNYA TANPA MELAKSANAKAN KEGIATAN LOGIC</t>
        </is>
      </c>
      <c r="D1059" s="35" t="inlineStr">
        <is>
          <t>Unit</t>
        </is>
      </c>
      <c r="E1059" s="42" t="n">
        <v>0</v>
      </c>
      <c r="F1059" s="37" t="n">
        <v>90060</v>
      </c>
      <c r="G1059" s="68" t="n"/>
      <c r="H1059" s="68">
        <f>E1059*G1059</f>
        <v/>
      </c>
      <c r="I1059" s="68">
        <f>F1059*G1059</f>
        <v/>
      </c>
      <c r="J1059" s="68">
        <f>SUM(H1059:I1059)</f>
        <v/>
      </c>
      <c r="K1059" s="43" t="n"/>
    </row>
    <row r="1060" hidden="1" ht="43.5" customHeight="1">
      <c r="A1060" s="35" t="n">
        <v>1052</v>
      </c>
      <c r="B1060" s="35" t="inlineStr">
        <is>
          <t>NE-MS-GENSET</t>
        </is>
      </c>
      <c r="C1060" s="36" t="inlineStr">
        <is>
          <t>MEMBAWA,MENGHIDUPKAN DAN MANJAGA OPERASIONAL GENSET SAAT PLN MATI,DAN MEMBAWA KEMBALI GENSET SAAT PLN NORMAL DI KEMBALIKAN KE TEMPAT PENYIMPANAN SEMULA</t>
        </is>
      </c>
      <c r="D1060" s="35" t="inlineStr">
        <is>
          <t>Unit</t>
        </is>
      </c>
      <c r="E1060" s="37" t="n">
        <v>0</v>
      </c>
      <c r="F1060" s="37" t="n">
        <v>142200</v>
      </c>
      <c r="G1060" s="68" t="n"/>
      <c r="H1060" s="68">
        <f>E1060*G1060</f>
        <v/>
      </c>
      <c r="I1060" s="68">
        <f>F1060*G1060</f>
        <v/>
      </c>
      <c r="J1060" s="68">
        <f>SUM(H1060:I1060)</f>
        <v/>
      </c>
      <c r="K1060" s="43" t="n"/>
    </row>
    <row r="1061" hidden="1" ht="43.5" customHeight="1">
      <c r="A1061" s="35" t="n">
        <v>1053</v>
      </c>
      <c r="B1061" s="40" t="inlineStr">
        <is>
          <t>J-NE-MS-GENSET</t>
        </is>
      </c>
      <c r="C1061" s="36" t="inlineStr">
        <is>
          <t>MEMBAWA,MENGHIDUPKAN DAN MANJAGA OPERASIONAL GENSET SAAT PLN MATI,DAN MEMBAWA KEMBALI GENSET SAAT PLN NORMAL DI KEMBALIKAN KE TEMPAT PENYIMPANAN SEMULA</t>
        </is>
      </c>
      <c r="D1061" s="35" t="inlineStr">
        <is>
          <t>Unit</t>
        </is>
      </c>
      <c r="E1061" s="42" t="n">
        <v>0</v>
      </c>
      <c r="F1061" s="37" t="n">
        <v>142200</v>
      </c>
      <c r="G1061" s="68" t="n"/>
      <c r="H1061" s="68">
        <f>E1061*G1061</f>
        <v/>
      </c>
      <c r="I1061" s="68">
        <f>F1061*G1061</f>
        <v/>
      </c>
      <c r="J1061" s="68">
        <f>SUM(H1061:I1061)</f>
        <v/>
      </c>
      <c r="K1061" s="43" t="n"/>
    </row>
    <row r="1062" hidden="1" ht="14.5" customHeight="1">
      <c r="A1062" s="35" t="n">
        <v>1054</v>
      </c>
      <c r="B1062" s="35" t="inlineStr">
        <is>
          <t>NE-MS-RECT-REP</t>
        </is>
      </c>
      <c r="C1062" s="36" t="inlineStr">
        <is>
          <t>PEMASANGAN RECTIFIER NE AKSES EKSISTING</t>
        </is>
      </c>
      <c r="D1062" s="35" t="inlineStr">
        <is>
          <t>Unit</t>
        </is>
      </c>
      <c r="E1062" s="37" t="n">
        <v>0</v>
      </c>
      <c r="F1062" s="37" t="n">
        <v>239270</v>
      </c>
      <c r="G1062" s="68" t="n"/>
      <c r="H1062" s="68">
        <f>E1062*G1062</f>
        <v/>
      </c>
      <c r="I1062" s="68">
        <f>F1062*G1062</f>
        <v/>
      </c>
      <c r="J1062" s="68">
        <f>SUM(H1062:I1062)</f>
        <v/>
      </c>
      <c r="K1062" s="43" t="n"/>
    </row>
    <row r="1063" hidden="1" ht="14.5" customHeight="1">
      <c r="A1063" s="35" t="n">
        <v>1055</v>
      </c>
      <c r="B1063" s="40" t="inlineStr">
        <is>
          <t>J-NE-MS-RECT-REP</t>
        </is>
      </c>
      <c r="C1063" s="36" t="inlineStr">
        <is>
          <t>PEMASANGAN RECTIFIER NE AKSES EKSISTING</t>
        </is>
      </c>
      <c r="D1063" s="35" t="inlineStr">
        <is>
          <t>Unit</t>
        </is>
      </c>
      <c r="E1063" s="42" t="n">
        <v>0</v>
      </c>
      <c r="F1063" s="37" t="n">
        <v>239270</v>
      </c>
      <c r="G1063" s="68" t="n"/>
      <c r="H1063" s="68">
        <f>E1063*G1063</f>
        <v/>
      </c>
      <c r="I1063" s="68">
        <f>F1063*G1063</f>
        <v/>
      </c>
      <c r="J1063" s="68">
        <f>SUM(H1063:I1063)</f>
        <v/>
      </c>
      <c r="K1063" s="43" t="n"/>
    </row>
    <row r="1064" hidden="1" ht="14.5" customHeight="1">
      <c r="A1064" s="35" t="n">
        <v>1056</v>
      </c>
      <c r="B1064" s="35" t="inlineStr">
        <is>
          <t>NE-MS-ISNT</t>
        </is>
      </c>
      <c r="C1064" s="36" t="inlineStr">
        <is>
          <t>PENGECEKAN DAN PENGUATAN BAUT DALAM PERANGKAT</t>
        </is>
      </c>
      <c r="D1064" s="35" t="inlineStr">
        <is>
          <t>Unit</t>
        </is>
      </c>
      <c r="E1064" s="37" t="n">
        <v>0</v>
      </c>
      <c r="F1064" s="37" t="n">
        <v>11630</v>
      </c>
      <c r="G1064" s="68" t="n"/>
      <c r="H1064" s="68">
        <f>E1064*G1064</f>
        <v/>
      </c>
      <c r="I1064" s="68">
        <f>F1064*G1064</f>
        <v/>
      </c>
      <c r="J1064" s="68">
        <f>SUM(H1064:I1064)</f>
        <v/>
      </c>
      <c r="K1064" s="43" t="n"/>
    </row>
    <row r="1065" hidden="1" ht="14.5" customHeight="1">
      <c r="A1065" s="35" t="n">
        <v>1057</v>
      </c>
      <c r="B1065" s="40" t="inlineStr">
        <is>
          <t>J-NE-MS-ISNT</t>
        </is>
      </c>
      <c r="C1065" s="36" t="inlineStr">
        <is>
          <t>PENGECEKAN DAN PENGUATAN BAUT DALAM PERANGKAT</t>
        </is>
      </c>
      <c r="D1065" s="35" t="inlineStr">
        <is>
          <t>Unit</t>
        </is>
      </c>
      <c r="E1065" s="42" t="n">
        <v>0</v>
      </c>
      <c r="F1065" s="37" t="n">
        <v>11630</v>
      </c>
      <c r="G1065" s="68" t="n"/>
      <c r="H1065" s="68">
        <f>E1065*G1065</f>
        <v/>
      </c>
      <c r="I1065" s="68">
        <f>F1065*G1065</f>
        <v/>
      </c>
      <c r="J1065" s="68">
        <f>SUM(H1065:I1065)</f>
        <v/>
      </c>
      <c r="K1065" s="43" t="n"/>
    </row>
    <row r="1066" hidden="1" ht="43.5" customHeight="1">
      <c r="A1066" s="35" t="n">
        <v>1058</v>
      </c>
      <c r="B1066" s="35" t="inlineStr">
        <is>
          <t>NE-MS-BKR</t>
        </is>
      </c>
      <c r="C1066" s="36" t="inlineStr">
        <is>
          <t>PEKERJAAN PEMBONGKARAN PERANGKAT AKTIF (MSAN, OAN, ONU, RDSLAM) BESERTA PATOK PENGAMAN DAN PERAPIHAN KEMBALI LOKASI BEKAS PEMBONGKARAN</t>
        </is>
      </c>
      <c r="D1066" s="35" t="inlineStr">
        <is>
          <t>Unit</t>
        </is>
      </c>
      <c r="E1066" s="37" t="n">
        <v>0</v>
      </c>
      <c r="F1066" s="37" t="n">
        <v>3740000</v>
      </c>
      <c r="G1066" s="68" t="n"/>
      <c r="H1066" s="68">
        <f>E1066*G1066</f>
        <v/>
      </c>
      <c r="I1066" s="68">
        <f>F1066*G1066</f>
        <v/>
      </c>
      <c r="J1066" s="68">
        <f>SUM(H1066:I1066)</f>
        <v/>
      </c>
      <c r="K1066" s="43" t="n"/>
    </row>
    <row r="1067" hidden="1" ht="43.5" customHeight="1">
      <c r="A1067" s="35" t="n">
        <v>1059</v>
      </c>
      <c r="B1067" s="40" t="inlineStr">
        <is>
          <t>J-NE-MS-BKR</t>
        </is>
      </c>
      <c r="C1067" s="36" t="inlineStr">
        <is>
          <t>PEKERJAAN PEMBONGKARAN PERANGKAT AKTIF (MSAN, OAN, ONU, RDSLAM) BESERTA PATOK PENGAMAN DAN PERAPIHAN KEMBALI LOKASI BEKAS PEMBONGKARAN</t>
        </is>
      </c>
      <c r="D1067" s="35" t="inlineStr">
        <is>
          <t>Unit</t>
        </is>
      </c>
      <c r="E1067" s="42" t="n">
        <v>0</v>
      </c>
      <c r="F1067" s="37" t="n">
        <v>3740000</v>
      </c>
      <c r="G1067" s="68" t="n"/>
      <c r="H1067" s="68">
        <f>E1067*G1067</f>
        <v/>
      </c>
      <c r="I1067" s="68">
        <f>F1067*G1067</f>
        <v/>
      </c>
      <c r="J1067" s="68">
        <f>SUM(H1067:I1067)</f>
        <v/>
      </c>
      <c r="K1067" s="43" t="n"/>
    </row>
    <row r="1068" hidden="1" ht="29" customHeight="1">
      <c r="A1068" s="35" t="n">
        <v>1060</v>
      </c>
      <c r="B1068" s="35" t="inlineStr">
        <is>
          <t>DISMANTLING-MDU</t>
        </is>
      </c>
      <c r="C1068" s="36" t="inlineStr">
        <is>
          <t>DISMANTLING MDU DAN ASSESORIESNYA, CHECKLIST PENDATAAN, DAN REKONDISI EKS LOKASI BONGKARAN MDU</t>
        </is>
      </c>
      <c r="D1068" s="35" t="inlineStr">
        <is>
          <t>Ls</t>
        </is>
      </c>
      <c r="E1068" s="37" t="n">
        <v>0</v>
      </c>
      <c r="F1068" s="37" t="n">
        <v>3410000</v>
      </c>
      <c r="G1068" s="68" t="n"/>
      <c r="H1068" s="68">
        <f>E1068*G1068</f>
        <v/>
      </c>
      <c r="I1068" s="68">
        <f>F1068*G1068</f>
        <v/>
      </c>
      <c r="J1068" s="68">
        <f>SUM(H1068:I1068)</f>
        <v/>
      </c>
      <c r="K1068" s="43" t="n"/>
    </row>
    <row r="1069" hidden="1" ht="29" customHeight="1">
      <c r="A1069" s="35" t="n">
        <v>1061</v>
      </c>
      <c r="B1069" s="40" t="inlineStr">
        <is>
          <t>J-DISMANTLING-MDU</t>
        </is>
      </c>
      <c r="C1069" s="36" t="inlineStr">
        <is>
          <t>DISMANTLING MDU DAN ASSESORIESNYA, CHECKLIST PENDATAAN, DAN REKONDISI EKS LOKASI BONGKARAN MDU</t>
        </is>
      </c>
      <c r="D1069" s="35" t="inlineStr">
        <is>
          <t>Ls</t>
        </is>
      </c>
      <c r="E1069" s="42" t="n">
        <v>0</v>
      </c>
      <c r="F1069" s="37" t="n">
        <v>3410000</v>
      </c>
      <c r="G1069" s="68" t="n"/>
      <c r="H1069" s="68">
        <f>E1069*G1069</f>
        <v/>
      </c>
      <c r="I1069" s="68">
        <f>F1069*G1069</f>
        <v/>
      </c>
      <c r="J1069" s="68">
        <f>SUM(H1069:I1069)</f>
        <v/>
      </c>
      <c r="K1069" s="43" t="n"/>
    </row>
    <row r="1070" hidden="1" ht="29" customHeight="1">
      <c r="A1070" s="35" t="n">
        <v>1062</v>
      </c>
      <c r="B1070" s="35" t="inlineStr">
        <is>
          <t>FAL-LOC</t>
        </is>
      </c>
      <c r="C1070" s="36" t="inlineStr">
        <is>
          <t>PEKERJAAN PENCARIAN TITIK KABEL PUTUS PADA SAAT PERBAIKAN GANGGUAN MENGGUNAKAN ALAT TAMBAHAN RADIO DETECTOR</t>
        </is>
      </c>
      <c r="D1070" s="35" t="inlineStr">
        <is>
          <t>titik</t>
        </is>
      </c>
      <c r="E1070" s="37" t="n">
        <v>0</v>
      </c>
      <c r="F1070" s="37" t="n">
        <v>97900</v>
      </c>
      <c r="G1070" s="68" t="n"/>
      <c r="H1070" s="68">
        <f>E1070*G1070</f>
        <v/>
      </c>
      <c r="I1070" s="68">
        <f>F1070*G1070</f>
        <v/>
      </c>
      <c r="J1070" s="68">
        <f>SUM(H1070:I1070)</f>
        <v/>
      </c>
      <c r="K1070" s="43" t="n"/>
    </row>
    <row r="1071" hidden="1" ht="29" customHeight="1">
      <c r="A1071" s="35" t="n">
        <v>1063</v>
      </c>
      <c r="B1071" s="40" t="inlineStr">
        <is>
          <t>J-FAL-LOC</t>
        </is>
      </c>
      <c r="C1071" s="36" t="inlineStr">
        <is>
          <t>PEKERJAAN PENCARIAN TITIK KABEL PUTUS PADA SAAT PERBAIKAN GANGGUAN MENGGUNAKAN ALAT TAMBAHAN RADIO DETECTOR</t>
        </is>
      </c>
      <c r="D1071" s="35" t="inlineStr">
        <is>
          <t>titik</t>
        </is>
      </c>
      <c r="E1071" s="42" t="n">
        <v>0</v>
      </c>
      <c r="F1071" s="37" t="n">
        <v>97900</v>
      </c>
      <c r="G1071" s="68" t="n"/>
      <c r="H1071" s="68">
        <f>E1071*G1071</f>
        <v/>
      </c>
      <c r="I1071" s="68">
        <f>F1071*G1071</f>
        <v/>
      </c>
      <c r="J1071" s="68">
        <f>SUM(H1071:I1071)</f>
        <v/>
      </c>
      <c r="K1071" s="43" t="n"/>
    </row>
    <row r="1072" hidden="1" ht="43.5" customHeight="1">
      <c r="A1072" s="35" t="n">
        <v>1064</v>
      </c>
      <c r="B1072" s="35" t="inlineStr">
        <is>
          <t>WSM-PHK3</t>
        </is>
      </c>
      <c r="C1072" s="36" t="inlineStr">
        <is>
          <t>PEKERJAAN PENGAWASAN DAN PENGAMANAN UNTUK PROJECT PIHAK KETIGA (INSTALASI LAIN) YANG BERPOTENSI MEMBERIKAN DAMPAK GANGGUAN PADA ALPRO TELKOM</t>
        </is>
      </c>
      <c r="D1072" s="35" t="inlineStr">
        <is>
          <t>Mandays</t>
        </is>
      </c>
      <c r="E1072" s="37" t="n">
        <v>0</v>
      </c>
      <c r="F1072" s="37" t="n">
        <v>161250</v>
      </c>
      <c r="G1072" s="68" t="n"/>
      <c r="H1072" s="68">
        <f>E1072*G1072</f>
        <v/>
      </c>
      <c r="I1072" s="68">
        <f>F1072*G1072</f>
        <v/>
      </c>
      <c r="J1072" s="68">
        <f>SUM(H1072:I1072)</f>
        <v/>
      </c>
      <c r="K1072" s="43" t="n"/>
    </row>
    <row r="1073" hidden="1" ht="43.5" customHeight="1">
      <c r="A1073" s="35" t="n">
        <v>1065</v>
      </c>
      <c r="B1073" s="40" t="inlineStr">
        <is>
          <t>J-WSM-PHK3</t>
        </is>
      </c>
      <c r="C1073" s="36" t="inlineStr">
        <is>
          <t>PEKERJAAN PENGAWASAN DAN PENGAMANAN UNTUK PROJECT PIHAK KETIGA (INSTALASI LAIN) YANG BERPOTENSI MEMBERIKAN DAMPAK GANGGUAN PADA ALPRO TELKOM</t>
        </is>
      </c>
      <c r="D1073" s="35" t="inlineStr">
        <is>
          <t>Mandays</t>
        </is>
      </c>
      <c r="E1073" s="42" t="n">
        <v>0</v>
      </c>
      <c r="F1073" s="37" t="n">
        <v>161250</v>
      </c>
      <c r="G1073" s="68" t="n"/>
      <c r="H1073" s="68">
        <f>E1073*G1073</f>
        <v/>
      </c>
      <c r="I1073" s="68">
        <f>F1073*G1073</f>
        <v/>
      </c>
      <c r="J1073" s="68">
        <f>SUM(H1073:I1073)</f>
        <v/>
      </c>
      <c r="K1073" s="43" t="n"/>
    </row>
    <row r="1074" hidden="1" ht="29" customHeight="1">
      <c r="A1074" s="35" t="n">
        <v>1066</v>
      </c>
      <c r="B1074" s="35" t="inlineStr">
        <is>
          <t>DIS-ODP</t>
        </is>
      </c>
      <c r="C1074" s="36" t="inlineStr">
        <is>
          <t>PEMBONGKARAN ODP BESERTA ASESORISNYA DAN JASA PEMBAWAAN KE GUDANG TELKOM</t>
        </is>
      </c>
      <c r="D1074" s="35" t="inlineStr">
        <is>
          <t>Pcs</t>
        </is>
      </c>
      <c r="E1074" s="37" t="n">
        <v>0</v>
      </c>
      <c r="F1074" s="37" t="n">
        <v>13640</v>
      </c>
      <c r="G1074" s="68" t="n"/>
      <c r="H1074" s="68">
        <f>E1074*G1074</f>
        <v/>
      </c>
      <c r="I1074" s="68">
        <f>F1074*G1074</f>
        <v/>
      </c>
      <c r="J1074" s="68">
        <f>SUM(H1074:I1074)</f>
        <v/>
      </c>
      <c r="K1074" s="43" t="n"/>
    </row>
    <row r="1075" hidden="1" ht="29" customHeight="1">
      <c r="A1075" s="35" t="n">
        <v>1067</v>
      </c>
      <c r="B1075" s="40" t="inlineStr">
        <is>
          <t>J-DIS-ODP</t>
        </is>
      </c>
      <c r="C1075" s="36" t="inlineStr">
        <is>
          <t>PEMBONGKARAN ODP BESERTA ASESORISNYA DAN JASA PEMBAWAAN KE GUDANG TELKOM</t>
        </is>
      </c>
      <c r="D1075" s="35" t="inlineStr">
        <is>
          <t>Pcs</t>
        </is>
      </c>
      <c r="E1075" s="42" t="n">
        <v>0</v>
      </c>
      <c r="F1075" s="37" t="n">
        <v>13640</v>
      </c>
      <c r="G1075" s="68" t="n"/>
      <c r="H1075" s="68">
        <f>E1075*G1075</f>
        <v/>
      </c>
      <c r="I1075" s="68">
        <f>F1075*G1075</f>
        <v/>
      </c>
      <c r="J1075" s="68">
        <f>SUM(H1075:I1075)</f>
        <v/>
      </c>
      <c r="K1075" s="43" t="n"/>
    </row>
    <row r="1076" hidden="1" ht="29" customHeight="1">
      <c r="A1076" s="35" t="n">
        <v>1068</v>
      </c>
      <c r="B1076" s="35" t="inlineStr">
        <is>
          <t>RENT-IBT</t>
        </is>
      </c>
      <c r="C1076" s="36" t="inlineStr">
        <is>
          <t>Biaya-biaya yang timbul dalam rangka sewa lahan untuk penempatan Alpro Telkom di polongan atau lahan pihak ketiga</t>
        </is>
      </c>
      <c r="D1076" s="35" t="inlineStr">
        <is>
          <t>Lumpsum</t>
        </is>
      </c>
      <c r="E1076" s="37" t="n">
        <v>0</v>
      </c>
      <c r="F1076" s="37" t="n">
        <v>1</v>
      </c>
      <c r="G1076" s="68" t="n"/>
      <c r="H1076" s="68">
        <f>E1076*G1076</f>
        <v/>
      </c>
      <c r="I1076" s="68">
        <f>F1076*G1076</f>
        <v/>
      </c>
      <c r="J1076" s="68">
        <f>SUM(H1076:I1076)</f>
        <v/>
      </c>
      <c r="K1076" s="43" t="n"/>
    </row>
    <row r="1077" hidden="1" ht="29" customHeight="1">
      <c r="A1077" s="35" t="n">
        <v>1069</v>
      </c>
      <c r="B1077" s="40" t="inlineStr">
        <is>
          <t>J-RENT-IBT</t>
        </is>
      </c>
      <c r="C1077" s="36" t="inlineStr">
        <is>
          <t>Biaya-biaya yang timbul dalam rangka sewa lahan untuk penempatan Alpro Telkom di polongan atau lahan pihak ketiga</t>
        </is>
      </c>
      <c r="D1077" s="35" t="inlineStr">
        <is>
          <t>Lumpsum</t>
        </is>
      </c>
      <c r="E1077" s="42" t="n">
        <v>0</v>
      </c>
      <c r="F1077" s="37" t="n">
        <v>1</v>
      </c>
      <c r="G1077" s="68" t="n"/>
      <c r="H1077" s="68">
        <f>E1077*G1077</f>
        <v/>
      </c>
      <c r="I1077" s="68">
        <f>F1077*G1077</f>
        <v/>
      </c>
      <c r="J1077" s="68">
        <f>SUM(H1077:I1077)</f>
        <v/>
      </c>
      <c r="K1077" s="43" t="n"/>
    </row>
    <row r="1078" hidden="1" ht="29" customHeight="1">
      <c r="A1078" s="35" t="n">
        <v>1070</v>
      </c>
      <c r="B1078" s="35" t="inlineStr">
        <is>
          <t>RENT-BMN</t>
        </is>
      </c>
      <c r="C1078" s="36" t="inlineStr">
        <is>
          <t>Biaya-biaya yang timbul dalam rangka sewa lahan untuk penempatan Alpro Telkom di lahan milik negara</t>
        </is>
      </c>
      <c r="D1078" s="35" t="inlineStr">
        <is>
          <t>Lumpsum</t>
        </is>
      </c>
      <c r="E1078" s="37" t="n">
        <v>0</v>
      </c>
      <c r="F1078" s="37" t="n">
        <v>1</v>
      </c>
      <c r="G1078" s="68" t="n"/>
      <c r="H1078" s="68">
        <f>E1078*G1078</f>
        <v/>
      </c>
      <c r="I1078" s="68">
        <f>F1078*G1078</f>
        <v/>
      </c>
      <c r="J1078" s="68">
        <f>SUM(H1078:I1078)</f>
        <v/>
      </c>
      <c r="K1078" s="43" t="n"/>
    </row>
    <row r="1079" hidden="1" ht="29" customHeight="1">
      <c r="A1079" s="35" t="n">
        <v>1071</v>
      </c>
      <c r="B1079" s="40" t="inlineStr">
        <is>
          <t>J-RENT-BMN</t>
        </is>
      </c>
      <c r="C1079" s="36" t="inlineStr">
        <is>
          <t>Biaya-biaya yang timbul dalam rangka sewa lahan untuk penempatan Alpro Telkom di lahan milik negara</t>
        </is>
      </c>
      <c r="D1079" s="35" t="inlineStr">
        <is>
          <t>Lumpsum</t>
        </is>
      </c>
      <c r="E1079" s="42" t="n">
        <v>0</v>
      </c>
      <c r="F1079" s="37" t="n">
        <v>1</v>
      </c>
      <c r="G1079" s="68" t="n"/>
      <c r="H1079" s="68">
        <f>E1079*G1079</f>
        <v/>
      </c>
      <c r="I1079" s="68">
        <f>F1079*G1079</f>
        <v/>
      </c>
      <c r="J1079" s="68">
        <f>SUM(H1079:I1079)</f>
        <v/>
      </c>
      <c r="K1079" s="43" t="n"/>
    </row>
    <row r="1080" hidden="1" ht="72.5" customHeight="1">
      <c r="A1080" s="35" t="n">
        <v>1072</v>
      </c>
      <c r="B1080" s="35" t="inlineStr">
        <is>
          <t>PU-W7</t>
        </is>
      </c>
      <c r="C1080"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0" s="35" t="inlineStr">
        <is>
          <t>Btg</t>
        </is>
      </c>
      <c r="E1080" s="37" t="n">
        <v>1496000</v>
      </c>
      <c r="F1080" s="37" t="n">
        <v>252080</v>
      </c>
      <c r="G1080" s="68" t="n"/>
      <c r="H1080" s="68">
        <f>E1080*G1080</f>
        <v/>
      </c>
      <c r="I1080" s="68">
        <f>F1080*G1080</f>
        <v/>
      </c>
      <c r="J1080" s="68">
        <f>SUM(H1080:I1080)</f>
        <v/>
      </c>
      <c r="K1080" s="43" t="n"/>
    </row>
    <row r="1081" hidden="1" ht="72.5" customHeight="1">
      <c r="A1081" s="35" t="n">
        <v>1073</v>
      </c>
      <c r="B1081" s="40" t="inlineStr">
        <is>
          <t>M-PU-W7</t>
        </is>
      </c>
      <c r="C1081"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1" s="35" t="inlineStr">
        <is>
          <t>Btg</t>
        </is>
      </c>
      <c r="E1081" s="37" t="n">
        <v>1496000</v>
      </c>
      <c r="F1081" s="42" t="n">
        <v>0</v>
      </c>
      <c r="G1081" s="68" t="n"/>
      <c r="H1081" s="68">
        <f>E1081*G1081</f>
        <v/>
      </c>
      <c r="I1081" s="68">
        <f>F1081*G1081</f>
        <v/>
      </c>
      <c r="J1081" s="68">
        <f>SUM(H1081:I1081)</f>
        <v/>
      </c>
      <c r="K1081" s="43" t="n"/>
    </row>
    <row r="1082" hidden="1" ht="72.5" customHeight="1">
      <c r="A1082" s="35" t="n">
        <v>1074</v>
      </c>
      <c r="B1082" s="40" t="inlineStr">
        <is>
          <t>J-PU-W7</t>
        </is>
      </c>
      <c r="C1082" s="36"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1082" s="35" t="inlineStr">
        <is>
          <t>Btg</t>
        </is>
      </c>
      <c r="E1082" s="42" t="n">
        <v>0</v>
      </c>
      <c r="F1082" s="37" t="n">
        <v>252080</v>
      </c>
      <c r="G1082" s="68" t="n"/>
      <c r="H1082" s="68">
        <f>E1082*G1082</f>
        <v/>
      </c>
      <c r="I1082" s="68">
        <f>F1082*G1082</f>
        <v/>
      </c>
      <c r="J1082" s="68">
        <f>SUM(H1082:I1082)</f>
        <v/>
      </c>
      <c r="K1082" s="43" t="n"/>
    </row>
    <row r="1083" ht="15.6" customHeight="1">
      <c r="A1083" s="46" t="inlineStr">
        <is>
          <t>MATERIAL</t>
        </is>
      </c>
      <c r="B1083" s="61" t="n"/>
      <c r="C1083" s="58" t="n"/>
      <c r="D1083" s="47" t="n"/>
      <c r="E1083" s="46" t="n"/>
      <c r="F1083" s="46" t="n"/>
      <c r="G1083" s="69">
        <f>SUMPRODUCT($E$9:$E$1082,G9:G1082)</f>
        <v/>
      </c>
      <c r="H1083" s="69">
        <f>SUM(H9:H1082)</f>
        <v/>
      </c>
      <c r="I1083" s="70" t="n"/>
      <c r="J1083" s="71" t="n"/>
      <c r="K1083" s="49" t="n"/>
    </row>
    <row r="1084" ht="15.5" customHeight="1">
      <c r="A1084" s="46" t="inlineStr">
        <is>
          <t>JASA</t>
        </is>
      </c>
      <c r="B1084" s="61" t="n"/>
      <c r="C1084" s="58" t="n"/>
      <c r="D1084" s="47" t="n"/>
      <c r="E1084" s="46" t="n"/>
      <c r="F1084" s="46" t="n"/>
      <c r="G1084" s="69">
        <f>SUMPRODUCT($F$9:$F$1082,G9:G1082)</f>
        <v/>
      </c>
      <c r="H1084" s="69">
        <f>SUM(I9:I1082)</f>
        <v/>
      </c>
      <c r="I1084" s="70" t="n"/>
      <c r="J1084" s="71" t="n"/>
      <c r="K1084" s="49" t="n"/>
    </row>
    <row r="1085" ht="15.6" customHeight="1">
      <c r="A1085" s="46" t="inlineStr">
        <is>
          <t>TOTAL</t>
        </is>
      </c>
      <c r="B1085" s="61" t="n"/>
      <c r="C1085" s="58" t="n"/>
      <c r="D1085" s="47" t="n"/>
      <c r="E1085" s="46" t="n"/>
      <c r="F1085" s="46" t="n"/>
      <c r="G1085" s="69">
        <f>SUM(G1083:G1084)</f>
        <v/>
      </c>
      <c r="H1085" s="69">
        <f>H1083+H1084</f>
        <v/>
      </c>
      <c r="I1085" s="70" t="n"/>
      <c r="J1085" s="71" t="n"/>
      <c r="K1085" s="49" t="n"/>
    </row>
    <row r="1086" hidden="1" ht="14.5" customHeight="1">
      <c r="G1086" s="72" t="n"/>
      <c r="J1086" s="51">
        <f>H1085=G1085</f>
        <v/>
      </c>
    </row>
    <row r="1087">
      <c r="G1087" s="53">
        <f>G1085/G5</f>
        <v/>
      </c>
    </row>
  </sheetData>
  <autoFilter ref="A8:XAF1087">
    <filterColumn colId="6" hiddenButton="0" showButton="1">
      <filters>
        <filter val="1"/>
        <filter val="11,073,791"/>
        <filter val="2"/>
        <filter val="12"/>
        <filter val="7,656,673"/>
        <filter val="4"/>
        <filter val="1,384,224"/>
        <filter val="575"/>
        <filter val="18"/>
        <filter val="3,417,118"/>
      </filters>
    </filterColumn>
  </autoFilter>
  <mergeCells count="14">
    <mergeCell ref="E6:F6"/>
    <mergeCell ref="H1085:J1085"/>
    <mergeCell ref="A1084:C1084"/>
    <mergeCell ref="A1085:C1085"/>
    <mergeCell ref="G6:G7"/>
    <mergeCell ref="H1084:J1084"/>
    <mergeCell ref="K6:K7"/>
    <mergeCell ref="C6:C7"/>
    <mergeCell ref="A1083:C1083"/>
    <mergeCell ref="H1083:J1083"/>
    <mergeCell ref="D6:D7"/>
    <mergeCell ref="B6:B7"/>
    <mergeCell ref="A6:A7"/>
    <mergeCell ref="H6:J6"/>
  </mergeCells>
  <conditionalFormatting sqref="B9:B1082">
    <cfRule type="duplicateValues" priority="5"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3"/>
  <sheetViews>
    <sheetView workbookViewId="0">
      <pane ySplit="6" topLeftCell="A7" activePane="bottomLeft" state="frozen"/>
      <selection pane="bottomLeft" activeCell="A1" sqref="A1"/>
    </sheetView>
  </sheetViews>
  <sheetFormatPr baseColWidth="8" defaultRowHeight="15"/>
  <cols>
    <col width="55" customWidth="1" min="1" max="1"/>
    <col width="11" customWidth="1" min="2" max="2"/>
    <col width="28" customWidth="1" min="3" max="3"/>
    <col width="12" customWidth="1" min="4" max="4"/>
    <col width="15" customWidth="1" min="5" max="5"/>
    <col width="15" customWidth="1" min="6" max="6"/>
    <col width="14" customWidth="1" min="7" max="7"/>
    <col width="12" customWidth="1" min="8" max="8"/>
  </cols>
  <sheetData>
    <row r="1">
      <c r="A1" s="73" t="inlineStr">
        <is>
          <t>FTTH BOQ GENERATOR</t>
        </is>
      </c>
    </row>
    <row r="2"/>
    <row r="3">
      <c r="A3" s="74" t="inlineStr">
        <is>
          <t>Generated Time : 2026-06-17 11:07</t>
        </is>
      </c>
    </row>
    <row r="4">
      <c r="A4" s="74" t="inlineStr">
        <is>
          <t>Source KML     : MDN PT3 TTG-FGB DS UJUNG JAHE.kml</t>
        </is>
      </c>
    </row>
    <row r="5"/>
    <row r="6"/>
    <row r="7">
      <c r="A7" s="75" t="inlineStr">
        <is>
          <t>RAW KML DATA</t>
        </is>
      </c>
    </row>
    <row r="8"/>
    <row r="9">
      <c r="A9" s="76" t="inlineStr">
        <is>
          <t>Object Type</t>
        </is>
      </c>
      <c r="B9" s="76" t="inlineStr">
        <is>
          <t>Folder</t>
        </is>
      </c>
      <c r="C9" s="76" t="inlineStr">
        <is>
          <t>Name</t>
        </is>
      </c>
      <c r="D9" s="76" t="inlineStr">
        <is>
          <t>Core</t>
        </is>
      </c>
      <c r="E9" s="76" t="inlineStr">
        <is>
          <t>Port</t>
        </is>
      </c>
      <c r="F9" s="76" t="inlineStr">
        <is>
          <t>Length (m)</t>
        </is>
      </c>
      <c r="G9" s="76" t="inlineStr">
        <is>
          <t>From Pole</t>
        </is>
      </c>
      <c r="H9" s="76" t="inlineStr">
        <is>
          <t>To Pole</t>
        </is>
      </c>
    </row>
    <row r="10">
      <c r="A10" s="74" t="inlineStr">
        <is>
          <t>point</t>
        </is>
      </c>
      <c r="B10" s="74" t="inlineStr">
        <is>
          <t>valid</t>
        </is>
      </c>
      <c r="C10" s="74" t="inlineStr">
        <is>
          <t>9067013</t>
        </is>
      </c>
      <c r="E10" s="74" t="n">
        <v>9067013</v>
      </c>
      <c r="F10" s="74" t="n">
        <v>0</v>
      </c>
    </row>
    <row r="11">
      <c r="A11" s="74" t="inlineStr">
        <is>
          <t>point</t>
        </is>
      </c>
      <c r="B11" s="74" t="inlineStr">
        <is>
          <t>valid</t>
        </is>
      </c>
      <c r="C11" s="74" t="inlineStr">
        <is>
          <t>9067016</t>
        </is>
      </c>
      <c r="E11" s="74" t="n">
        <v>9067016</v>
      </c>
      <c r="F11" s="74" t="n">
        <v>0</v>
      </c>
    </row>
    <row r="12">
      <c r="A12" s="74" t="inlineStr">
        <is>
          <t>point</t>
        </is>
      </c>
      <c r="B12" s="74" t="inlineStr">
        <is>
          <t>valid</t>
        </is>
      </c>
      <c r="C12" s="74" t="inlineStr">
        <is>
          <t>9067017</t>
        </is>
      </c>
      <c r="E12" s="74" t="n">
        <v>9067017</v>
      </c>
      <c r="F12" s="74" t="n">
        <v>0</v>
      </c>
    </row>
    <row r="13">
      <c r="A13" s="74" t="inlineStr">
        <is>
          <t>point</t>
        </is>
      </c>
      <c r="B13" s="74" t="inlineStr">
        <is>
          <t>valid</t>
        </is>
      </c>
      <c r="C13" s="74" t="inlineStr">
        <is>
          <t>9067018</t>
        </is>
      </c>
      <c r="E13" s="74" t="n">
        <v>9067018</v>
      </c>
      <c r="F13" s="74" t="n">
        <v>0</v>
      </c>
    </row>
    <row r="14">
      <c r="A14" s="74" t="inlineStr">
        <is>
          <t>point</t>
        </is>
      </c>
      <c r="B14" s="74" t="inlineStr">
        <is>
          <t>valid</t>
        </is>
      </c>
      <c r="C14" s="74" t="inlineStr">
        <is>
          <t>9067019</t>
        </is>
      </c>
      <c r="E14" s="74" t="n">
        <v>9067019</v>
      </c>
      <c r="F14" s="74" t="n">
        <v>0</v>
      </c>
    </row>
    <row r="15">
      <c r="A15" s="74" t="inlineStr">
        <is>
          <t>point</t>
        </is>
      </c>
      <c r="B15" s="74" t="inlineStr">
        <is>
          <t>valid</t>
        </is>
      </c>
      <c r="C15" s="74" t="inlineStr">
        <is>
          <t>9067020</t>
        </is>
      </c>
      <c r="E15" s="74" t="n">
        <v>9067020</v>
      </c>
      <c r="F15" s="74" t="n">
        <v>0</v>
      </c>
    </row>
    <row r="16">
      <c r="A16" s="74" t="inlineStr">
        <is>
          <t>point</t>
        </is>
      </c>
      <c r="B16" s="74" t="inlineStr">
        <is>
          <t>valid</t>
        </is>
      </c>
      <c r="C16" s="74" t="inlineStr">
        <is>
          <t>9067021</t>
        </is>
      </c>
      <c r="E16" s="74" t="n">
        <v>9067021</v>
      </c>
      <c r="F16" s="74" t="n">
        <v>0</v>
      </c>
    </row>
    <row r="17">
      <c r="A17" s="74" t="inlineStr">
        <is>
          <t>point</t>
        </is>
      </c>
      <c r="B17" s="74" t="inlineStr">
        <is>
          <t>valid</t>
        </is>
      </c>
      <c r="C17" s="74" t="inlineStr">
        <is>
          <t>9067022</t>
        </is>
      </c>
      <c r="E17" s="74" t="n">
        <v>9067022</v>
      </c>
      <c r="F17" s="74" t="n">
        <v>0</v>
      </c>
    </row>
    <row r="18">
      <c r="A18" s="74" t="inlineStr">
        <is>
          <t>point</t>
        </is>
      </c>
      <c r="B18" s="74" t="inlineStr">
        <is>
          <t>valid</t>
        </is>
      </c>
      <c r="C18" s="74" t="inlineStr">
        <is>
          <t>9067023</t>
        </is>
      </c>
      <c r="E18" s="74" t="n">
        <v>9067023</v>
      </c>
      <c r="F18" s="74" t="n">
        <v>0</v>
      </c>
    </row>
    <row r="19">
      <c r="A19" s="74" t="inlineStr">
        <is>
          <t>point</t>
        </is>
      </c>
      <c r="B19" s="74" t="inlineStr">
        <is>
          <t>valid</t>
        </is>
      </c>
      <c r="C19" s="74" t="inlineStr">
        <is>
          <t>9067024</t>
        </is>
      </c>
      <c r="E19" s="74" t="n">
        <v>9067024</v>
      </c>
      <c r="F19" s="74" t="n">
        <v>0</v>
      </c>
    </row>
    <row r="20">
      <c r="A20" s="74" t="inlineStr">
        <is>
          <t>point</t>
        </is>
      </c>
      <c r="B20" s="74" t="inlineStr">
        <is>
          <t>valid</t>
        </is>
      </c>
      <c r="C20" s="74" t="inlineStr">
        <is>
          <t>9067026</t>
        </is>
      </c>
      <c r="E20" s="74" t="n">
        <v>9067026</v>
      </c>
      <c r="F20" s="74" t="n">
        <v>0</v>
      </c>
    </row>
    <row r="21">
      <c r="A21" s="74" t="inlineStr">
        <is>
          <t>point</t>
        </is>
      </c>
      <c r="B21" s="74" t="inlineStr">
        <is>
          <t>valid</t>
        </is>
      </c>
      <c r="C21" s="74" t="inlineStr">
        <is>
          <t>9067027</t>
        </is>
      </c>
      <c r="E21" s="74" t="n">
        <v>9067027</v>
      </c>
      <c r="F21" s="74" t="n">
        <v>0</v>
      </c>
    </row>
    <row r="22">
      <c r="A22" s="74" t="inlineStr">
        <is>
          <t>point</t>
        </is>
      </c>
      <c r="B22" s="74" t="inlineStr">
        <is>
          <t>valid</t>
        </is>
      </c>
      <c r="C22" s="74" t="inlineStr">
        <is>
          <t>9067031</t>
        </is>
      </c>
      <c r="E22" s="74" t="n">
        <v>9067031</v>
      </c>
      <c r="F22" s="74" t="n">
        <v>0</v>
      </c>
    </row>
    <row r="23">
      <c r="A23" s="74" t="inlineStr">
        <is>
          <t>point</t>
        </is>
      </c>
      <c r="B23" s="74" t="inlineStr">
        <is>
          <t>valid</t>
        </is>
      </c>
      <c r="C23" s="74" t="inlineStr">
        <is>
          <t>9067033</t>
        </is>
      </c>
      <c r="E23" s="74" t="n">
        <v>9067033</v>
      </c>
      <c r="F23" s="74" t="n">
        <v>0</v>
      </c>
    </row>
    <row r="24">
      <c r="A24" s="74" t="inlineStr">
        <is>
          <t>point</t>
        </is>
      </c>
      <c r="B24" s="74" t="inlineStr">
        <is>
          <t>valid</t>
        </is>
      </c>
      <c r="C24" s="74" t="inlineStr">
        <is>
          <t>9067035</t>
        </is>
      </c>
      <c r="E24" s="74" t="n">
        <v>9067035</v>
      </c>
      <c r="F24" s="74" t="n">
        <v>0</v>
      </c>
    </row>
    <row r="25">
      <c r="A25" s="74" t="inlineStr">
        <is>
          <t>point</t>
        </is>
      </c>
      <c r="B25" s="74" t="inlineStr">
        <is>
          <t>TIANG</t>
        </is>
      </c>
      <c r="C25" s="74" t="inlineStr">
        <is>
          <t>TE</t>
        </is>
      </c>
      <c r="F25" s="74" t="n">
        <v>0</v>
      </c>
    </row>
    <row r="26">
      <c r="A26" s="74" t="inlineStr">
        <is>
          <t>point</t>
        </is>
      </c>
      <c r="B26" s="74" t="inlineStr">
        <is>
          <t>TIANG</t>
        </is>
      </c>
      <c r="C26" s="74" t="inlineStr">
        <is>
          <t>TE</t>
        </is>
      </c>
      <c r="F26" s="74" t="n">
        <v>0</v>
      </c>
    </row>
    <row r="27">
      <c r="A27" s="74" t="inlineStr">
        <is>
          <t>point</t>
        </is>
      </c>
      <c r="B27" s="74" t="inlineStr">
        <is>
          <t>TIANG</t>
        </is>
      </c>
      <c r="C27" s="74" t="inlineStr">
        <is>
          <t>TE</t>
        </is>
      </c>
      <c r="F27" s="74" t="n">
        <v>0</v>
      </c>
    </row>
    <row r="28">
      <c r="A28" s="74" t="inlineStr">
        <is>
          <t>point</t>
        </is>
      </c>
      <c r="B28" s="74" t="inlineStr">
        <is>
          <t>TIANG</t>
        </is>
      </c>
      <c r="C28" s="74" t="inlineStr">
        <is>
          <t>TE</t>
        </is>
      </c>
      <c r="F28" s="74" t="n">
        <v>0</v>
      </c>
    </row>
    <row r="29">
      <c r="A29" s="74" t="inlineStr">
        <is>
          <t>point</t>
        </is>
      </c>
      <c r="B29" s="74" t="inlineStr">
        <is>
          <t>TIANG</t>
        </is>
      </c>
      <c r="C29" s="74" t="inlineStr">
        <is>
          <t>TB</t>
        </is>
      </c>
      <c r="F29" s="74" t="n">
        <v>0</v>
      </c>
    </row>
    <row r="30">
      <c r="A30" s="74" t="inlineStr">
        <is>
          <t>point</t>
        </is>
      </c>
      <c r="B30" s="74" t="inlineStr">
        <is>
          <t>TIANG</t>
        </is>
      </c>
      <c r="C30" s="74" t="inlineStr">
        <is>
          <t>TB</t>
        </is>
      </c>
      <c r="F30" s="74" t="n">
        <v>0</v>
      </c>
    </row>
    <row r="31">
      <c r="A31" s="74" t="inlineStr">
        <is>
          <t>point</t>
        </is>
      </c>
      <c r="B31" s="74" t="inlineStr">
        <is>
          <t>TIANG</t>
        </is>
      </c>
      <c r="C31" s="74" t="inlineStr">
        <is>
          <t>TB</t>
        </is>
      </c>
      <c r="F31" s="74" t="n">
        <v>0</v>
      </c>
    </row>
    <row r="32">
      <c r="A32" s="74" t="inlineStr">
        <is>
          <t>point</t>
        </is>
      </c>
      <c r="B32" s="74" t="inlineStr">
        <is>
          <t>TIANG</t>
        </is>
      </c>
      <c r="C32" s="74" t="inlineStr">
        <is>
          <t>TB</t>
        </is>
      </c>
      <c r="F32" s="74" t="n">
        <v>0</v>
      </c>
    </row>
    <row r="33">
      <c r="A33" s="74" t="inlineStr">
        <is>
          <t>point</t>
        </is>
      </c>
      <c r="B33" s="74" t="inlineStr">
        <is>
          <t>TIANG</t>
        </is>
      </c>
      <c r="C33" s="74" t="inlineStr">
        <is>
          <t>TB</t>
        </is>
      </c>
      <c r="F33" s="74" t="n">
        <v>0</v>
      </c>
    </row>
    <row r="34">
      <c r="A34" s="74" t="inlineStr">
        <is>
          <t>point</t>
        </is>
      </c>
      <c r="B34" s="74" t="inlineStr">
        <is>
          <t>TIANG</t>
        </is>
      </c>
      <c r="C34" s="74" t="inlineStr">
        <is>
          <t>TB</t>
        </is>
      </c>
      <c r="F34" s="74" t="n">
        <v>0</v>
      </c>
    </row>
    <row r="35">
      <c r="A35" s="74" t="inlineStr">
        <is>
          <t>point</t>
        </is>
      </c>
      <c r="B35" s="74" t="inlineStr">
        <is>
          <t>TIANG</t>
        </is>
      </c>
      <c r="C35" s="74" t="inlineStr">
        <is>
          <t>TB</t>
        </is>
      </c>
      <c r="F35" s="74" t="n">
        <v>0</v>
      </c>
    </row>
    <row r="36">
      <c r="A36" s="74" t="inlineStr">
        <is>
          <t>point</t>
        </is>
      </c>
      <c r="B36" s="74" t="inlineStr">
        <is>
          <t>TIANG</t>
        </is>
      </c>
      <c r="C36" s="74" t="inlineStr">
        <is>
          <t>TB</t>
        </is>
      </c>
      <c r="F36" s="74" t="n">
        <v>0</v>
      </c>
    </row>
    <row r="37">
      <c r="A37" s="74" t="inlineStr">
        <is>
          <t>point</t>
        </is>
      </c>
      <c r="B37" s="74" t="inlineStr">
        <is>
          <t>TIANG</t>
        </is>
      </c>
      <c r="C37" s="74" t="inlineStr">
        <is>
          <t>TB</t>
        </is>
      </c>
      <c r="F37" s="74" t="n">
        <v>0</v>
      </c>
    </row>
    <row r="38">
      <c r="A38" s="74" t="inlineStr">
        <is>
          <t>point</t>
        </is>
      </c>
      <c r="B38" s="74" t="inlineStr">
        <is>
          <t>TIANG</t>
        </is>
      </c>
      <c r="C38" s="74" t="inlineStr">
        <is>
          <t>TB</t>
        </is>
      </c>
      <c r="F38" s="74" t="n">
        <v>0</v>
      </c>
    </row>
    <row r="39">
      <c r="A39" s="74" t="inlineStr">
        <is>
          <t>te</t>
        </is>
      </c>
      <c r="B39" s="74" t="inlineStr">
        <is>
          <t>TE</t>
        </is>
      </c>
      <c r="C39" s="74" t="inlineStr">
        <is>
          <t>TE</t>
        </is>
      </c>
      <c r="F39" s="74" t="n">
        <v>0</v>
      </c>
    </row>
    <row r="40">
      <c r="A40" s="74" t="inlineStr">
        <is>
          <t>te</t>
        </is>
      </c>
      <c r="B40" s="74" t="inlineStr">
        <is>
          <t>TE</t>
        </is>
      </c>
      <c r="C40" s="74" t="inlineStr">
        <is>
          <t>TE</t>
        </is>
      </c>
      <c r="F40" s="74" t="n">
        <v>0</v>
      </c>
    </row>
    <row r="41">
      <c r="A41" s="74" t="inlineStr">
        <is>
          <t>te</t>
        </is>
      </c>
      <c r="B41" s="74" t="inlineStr">
        <is>
          <t>TE</t>
        </is>
      </c>
      <c r="C41" s="74" t="inlineStr">
        <is>
          <t>TE</t>
        </is>
      </c>
      <c r="F41" s="74" t="n">
        <v>0</v>
      </c>
    </row>
    <row r="42">
      <c r="A42" s="74" t="inlineStr">
        <is>
          <t>te</t>
        </is>
      </c>
      <c r="B42" s="74" t="inlineStr">
        <is>
          <t>TE</t>
        </is>
      </c>
      <c r="C42" s="74" t="inlineStr">
        <is>
          <t>TE</t>
        </is>
      </c>
      <c r="F42" s="74" t="n">
        <v>0</v>
      </c>
    </row>
    <row r="43">
      <c r="A43" s="74" t="inlineStr">
        <is>
          <t>tb</t>
        </is>
      </c>
      <c r="B43" s="74" t="inlineStr">
        <is>
          <t>TB</t>
        </is>
      </c>
      <c r="C43" s="74" t="inlineStr">
        <is>
          <t>TB</t>
        </is>
      </c>
      <c r="F43" s="74" t="n">
        <v>0</v>
      </c>
    </row>
    <row r="44">
      <c r="A44" s="74" t="inlineStr">
        <is>
          <t>tb</t>
        </is>
      </c>
      <c r="B44" s="74" t="inlineStr">
        <is>
          <t>TB</t>
        </is>
      </c>
      <c r="C44" s="74" t="inlineStr">
        <is>
          <t>TB</t>
        </is>
      </c>
      <c r="F44" s="74" t="n">
        <v>0</v>
      </c>
    </row>
    <row r="45">
      <c r="A45" s="74" t="inlineStr">
        <is>
          <t>tb</t>
        </is>
      </c>
      <c r="B45" s="74" t="inlineStr">
        <is>
          <t>TB</t>
        </is>
      </c>
      <c r="C45" s="74" t="inlineStr">
        <is>
          <t>TB</t>
        </is>
      </c>
      <c r="F45" s="74" t="n">
        <v>0</v>
      </c>
    </row>
    <row r="46">
      <c r="A46" s="74" t="inlineStr">
        <is>
          <t>tb</t>
        </is>
      </c>
      <c r="B46" s="74" t="inlineStr">
        <is>
          <t>TB</t>
        </is>
      </c>
      <c r="C46" s="74" t="inlineStr">
        <is>
          <t>TB</t>
        </is>
      </c>
      <c r="F46" s="74" t="n">
        <v>0</v>
      </c>
    </row>
    <row r="47">
      <c r="A47" s="74" t="inlineStr">
        <is>
          <t>tb</t>
        </is>
      </c>
      <c r="B47" s="74" t="inlineStr">
        <is>
          <t>TB</t>
        </is>
      </c>
      <c r="C47" s="74" t="inlineStr">
        <is>
          <t>TB</t>
        </is>
      </c>
      <c r="F47" s="74" t="n">
        <v>0</v>
      </c>
    </row>
    <row r="48">
      <c r="A48" s="74" t="inlineStr">
        <is>
          <t>tb</t>
        </is>
      </c>
      <c r="B48" s="74" t="inlineStr">
        <is>
          <t>TB</t>
        </is>
      </c>
      <c r="C48" s="74" t="inlineStr">
        <is>
          <t>TB</t>
        </is>
      </c>
      <c r="F48" s="74" t="n">
        <v>0</v>
      </c>
    </row>
    <row r="49">
      <c r="A49" s="74" t="inlineStr">
        <is>
          <t>tb</t>
        </is>
      </c>
      <c r="B49" s="74" t="inlineStr">
        <is>
          <t>TB</t>
        </is>
      </c>
      <c r="C49" s="74" t="inlineStr">
        <is>
          <t>TB</t>
        </is>
      </c>
      <c r="F49" s="74" t="n">
        <v>0</v>
      </c>
    </row>
    <row r="50">
      <c r="A50" s="74" t="inlineStr">
        <is>
          <t>tb</t>
        </is>
      </c>
      <c r="B50" s="74" t="inlineStr">
        <is>
          <t>TB</t>
        </is>
      </c>
      <c r="C50" s="74" t="inlineStr">
        <is>
          <t>TB</t>
        </is>
      </c>
      <c r="F50" s="74" t="n">
        <v>0</v>
      </c>
    </row>
    <row r="51">
      <c r="A51" s="74" t="inlineStr">
        <is>
          <t>tb</t>
        </is>
      </c>
      <c r="B51" s="74" t="inlineStr">
        <is>
          <t>TB</t>
        </is>
      </c>
      <c r="C51" s="74" t="inlineStr">
        <is>
          <t>TB</t>
        </is>
      </c>
      <c r="F51" s="74" t="n">
        <v>0</v>
      </c>
    </row>
    <row r="52">
      <c r="A52" s="74" t="inlineStr">
        <is>
          <t>tb</t>
        </is>
      </c>
      <c r="B52" s="74" t="inlineStr">
        <is>
          <t>TB</t>
        </is>
      </c>
      <c r="C52" s="74" t="inlineStr">
        <is>
          <t>TB</t>
        </is>
      </c>
      <c r="F52" s="74" t="n">
        <v>0</v>
      </c>
    </row>
    <row r="53">
      <c r="A53" s="74" t="inlineStr">
        <is>
          <t>closure</t>
        </is>
      </c>
      <c r="B53" s="74" t="inlineStr">
        <is>
          <t>CLOSUR</t>
        </is>
      </c>
      <c r="C53" s="74" t="inlineStr">
        <is>
          <t>CL24 PLAN BRANCING DS05</t>
        </is>
      </c>
      <c r="D53" s="74" t="n">
        <v>24</v>
      </c>
      <c r="E53" s="74" t="n">
        <v>24</v>
      </c>
      <c r="F53" s="74" t="n">
        <v>0</v>
      </c>
    </row>
    <row r="54">
      <c r="A54" s="74" t="inlineStr">
        <is>
          <t>cable</t>
        </is>
      </c>
      <c r="B54" s="74" t="inlineStr">
        <is>
          <t>KABEL</t>
        </is>
      </c>
      <c r="C54" s="74" t="inlineStr">
        <is>
          <t>KU ADSS 12</t>
        </is>
      </c>
      <c r="D54" s="74" t="n">
        <v>12</v>
      </c>
      <c r="E54" s="74" t="n">
        <v>12</v>
      </c>
      <c r="F54" s="74" t="n">
        <v>710.11</v>
      </c>
      <c r="G54" s="74" t="inlineStr">
        <is>
          <t>TE-04</t>
        </is>
      </c>
      <c r="H54" s="74" t="inlineStr">
        <is>
          <t>TB-10</t>
        </is>
      </c>
    </row>
    <row r="55">
      <c r="A55" s="74" t="inlineStr">
        <is>
          <t>odp</t>
        </is>
      </c>
      <c r="B55" s="74" t="inlineStr">
        <is>
          <t>ODP</t>
        </is>
      </c>
      <c r="C55" s="74" t="inlineStr">
        <is>
          <t>ODP PLAN DS05</t>
        </is>
      </c>
      <c r="E55" s="74" t="n">
        <v>5</v>
      </c>
      <c r="F55" s="74" t="n">
        <v>0</v>
      </c>
    </row>
    <row r="56">
      <c r="A56" s="74" t="inlineStr">
        <is>
          <t>odp</t>
        </is>
      </c>
      <c r="B56" s="74" t="inlineStr">
        <is>
          <t>ODP</t>
        </is>
      </c>
      <c r="C56" s="74" t="inlineStr">
        <is>
          <t>ODP PLAN DS05</t>
        </is>
      </c>
      <c r="E56" s="74" t="n">
        <v>5</v>
      </c>
      <c r="F56" s="74" t="n">
        <v>0</v>
      </c>
    </row>
    <row r="57">
      <c r="A57" s="74" t="inlineStr">
        <is>
          <t>odp</t>
        </is>
      </c>
      <c r="B57" s="74" t="inlineStr">
        <is>
          <t>ODP</t>
        </is>
      </c>
      <c r="C57" s="74" t="inlineStr">
        <is>
          <t>ODP PLAN DS05</t>
        </is>
      </c>
      <c r="E57" s="74" t="n">
        <v>5</v>
      </c>
      <c r="F57" s="74" t="n">
        <v>0</v>
      </c>
    </row>
    <row r="58"/>
    <row r="59"/>
    <row r="60">
      <c r="A60" s="75" t="inlineStr">
        <is>
          <t>CABLE DETAIL</t>
        </is>
      </c>
    </row>
    <row r="61"/>
    <row r="62">
      <c r="A62" s="76" t="inlineStr">
        <is>
          <t>Cable</t>
        </is>
      </c>
      <c r="B62" s="76" t="inlineStr">
        <is>
          <t>Core</t>
        </is>
      </c>
      <c r="C62" s="76" t="inlineStr">
        <is>
          <t>From Pole</t>
        </is>
      </c>
      <c r="D62" s="76" t="inlineStr">
        <is>
          <t>To Pole</t>
        </is>
      </c>
      <c r="E62" s="76" t="inlineStr">
        <is>
          <t>Length (m)</t>
        </is>
      </c>
      <c r="F62" s="77" t="n"/>
      <c r="G62" s="77" t="n"/>
      <c r="H62" s="77" t="n"/>
    </row>
    <row r="63">
      <c r="A63" s="74" t="inlineStr">
        <is>
          <t>KU ADSS 12</t>
        </is>
      </c>
      <c r="B63" s="74" t="n">
        <v>12</v>
      </c>
      <c r="C63" s="74" t="inlineStr">
        <is>
          <t>TE-04</t>
        </is>
      </c>
      <c r="D63" s="74" t="inlineStr">
        <is>
          <t>TE-01</t>
        </is>
      </c>
      <c r="E63" s="74" t="n">
        <v>52.16</v>
      </c>
    </row>
    <row r="64">
      <c r="A64" s="74" t="inlineStr">
        <is>
          <t>KU ADSS 12</t>
        </is>
      </c>
      <c r="B64" s="74" t="n">
        <v>12</v>
      </c>
      <c r="C64" s="74" t="inlineStr">
        <is>
          <t>TE-01</t>
        </is>
      </c>
      <c r="D64" s="74" t="inlineStr">
        <is>
          <t>TE-02</t>
        </is>
      </c>
      <c r="E64" s="74" t="n">
        <v>50.2</v>
      </c>
    </row>
    <row r="65">
      <c r="A65" s="74" t="inlineStr">
        <is>
          <t>KU ADSS 12</t>
        </is>
      </c>
      <c r="B65" s="74" t="n">
        <v>12</v>
      </c>
      <c r="C65" s="74" t="inlineStr">
        <is>
          <t>TE-02</t>
        </is>
      </c>
      <c r="D65" s="74" t="inlineStr">
        <is>
          <t>TE-03</t>
        </is>
      </c>
      <c r="E65" s="74" t="n">
        <v>38.44</v>
      </c>
    </row>
    <row r="66">
      <c r="A66" s="74" t="inlineStr">
        <is>
          <t>KU ADSS 12</t>
        </is>
      </c>
      <c r="B66" s="74" t="n">
        <v>12</v>
      </c>
      <c r="C66" s="74" t="inlineStr">
        <is>
          <t>TE-03</t>
        </is>
      </c>
      <c r="D66" s="74" t="inlineStr">
        <is>
          <t>TB-01</t>
        </is>
      </c>
      <c r="E66" s="74" t="n">
        <v>59.12</v>
      </c>
    </row>
    <row r="67">
      <c r="A67" s="74" t="inlineStr">
        <is>
          <t>KU ADSS 12</t>
        </is>
      </c>
      <c r="B67" s="74" t="n">
        <v>12</v>
      </c>
      <c r="C67" s="74" t="inlineStr">
        <is>
          <t>TB-01</t>
        </is>
      </c>
      <c r="D67" s="74" t="inlineStr">
        <is>
          <t>TB-02</t>
        </is>
      </c>
      <c r="E67" s="74" t="n">
        <v>58.98</v>
      </c>
    </row>
    <row r="68">
      <c r="A68" s="74" t="inlineStr">
        <is>
          <t>KU ADSS 12</t>
        </is>
      </c>
      <c r="B68" s="74" t="n">
        <v>12</v>
      </c>
      <c r="C68" s="74" t="inlineStr">
        <is>
          <t>TB-02</t>
        </is>
      </c>
      <c r="D68" s="74" t="inlineStr">
        <is>
          <t>TB-03</t>
        </is>
      </c>
      <c r="E68" s="74" t="n">
        <v>55.71</v>
      </c>
    </row>
    <row r="69">
      <c r="A69" s="74" t="inlineStr">
        <is>
          <t>KU ADSS 12</t>
        </is>
      </c>
      <c r="B69" s="74" t="n">
        <v>12</v>
      </c>
      <c r="C69" s="74" t="inlineStr">
        <is>
          <t>TB-03</t>
        </is>
      </c>
      <c r="D69" s="74" t="inlineStr">
        <is>
          <t>TB-04</t>
        </is>
      </c>
      <c r="E69" s="74" t="n">
        <v>57.3</v>
      </c>
    </row>
    <row r="70">
      <c r="A70" s="74" t="inlineStr">
        <is>
          <t>KU ADSS 12</t>
        </is>
      </c>
      <c r="B70" s="74" t="n">
        <v>12</v>
      </c>
      <c r="C70" s="74" t="inlineStr">
        <is>
          <t>TB-04</t>
        </is>
      </c>
      <c r="D70" s="74" t="inlineStr">
        <is>
          <t>TB-05</t>
        </is>
      </c>
      <c r="E70" s="74" t="n">
        <v>55.42</v>
      </c>
    </row>
    <row r="71">
      <c r="A71" s="74" t="inlineStr">
        <is>
          <t>KU ADSS 12</t>
        </is>
      </c>
      <c r="B71" s="74" t="n">
        <v>12</v>
      </c>
      <c r="C71" s="74" t="inlineStr">
        <is>
          <t>TB-05</t>
        </is>
      </c>
      <c r="D71" s="74" t="inlineStr">
        <is>
          <t>TB-06</t>
        </is>
      </c>
      <c r="E71" s="74" t="n">
        <v>57.82</v>
      </c>
    </row>
    <row r="72">
      <c r="A72" s="74" t="inlineStr">
        <is>
          <t>KU ADSS 12</t>
        </is>
      </c>
      <c r="B72" s="74" t="n">
        <v>12</v>
      </c>
      <c r="C72" s="74" t="inlineStr">
        <is>
          <t>TB-06</t>
        </is>
      </c>
      <c r="D72" s="74" t="inlineStr">
        <is>
          <t>TB-07</t>
        </is>
      </c>
      <c r="E72" s="74" t="n">
        <v>57.51</v>
      </c>
    </row>
    <row r="73">
      <c r="A73" s="74" t="inlineStr">
        <is>
          <t>KU ADSS 12</t>
        </is>
      </c>
      <c r="B73" s="74" t="n">
        <v>12</v>
      </c>
      <c r="C73" s="74" t="inlineStr">
        <is>
          <t>TB-07</t>
        </is>
      </c>
      <c r="D73" s="74" t="inlineStr">
        <is>
          <t>TB-08</t>
        </is>
      </c>
      <c r="E73" s="74" t="n">
        <v>54.65</v>
      </c>
    </row>
    <row r="74">
      <c r="A74" s="74" t="inlineStr">
        <is>
          <t>KU ADSS 12</t>
        </is>
      </c>
      <c r="B74" s="74" t="n">
        <v>12</v>
      </c>
      <c r="C74" s="74" t="inlineStr">
        <is>
          <t>TB-08</t>
        </is>
      </c>
      <c r="D74" s="74" t="inlineStr">
        <is>
          <t>TB-09</t>
        </is>
      </c>
      <c r="E74" s="74" t="n">
        <v>56.38</v>
      </c>
    </row>
    <row r="75">
      <c r="A75" s="74" t="inlineStr">
        <is>
          <t>KU ADSS 12</t>
        </is>
      </c>
      <c r="B75" s="74" t="n">
        <v>12</v>
      </c>
      <c r="C75" s="74" t="inlineStr">
        <is>
          <t>TB-09</t>
        </is>
      </c>
      <c r="D75" s="74" t="inlineStr">
        <is>
          <t>TB-10</t>
        </is>
      </c>
      <c r="E75" s="74" t="n">
        <v>51.55</v>
      </c>
    </row>
    <row r="76"/>
    <row r="77"/>
    <row r="78">
      <c r="A78" s="75" t="inlineStr">
        <is>
          <t>SUMMARY</t>
        </is>
      </c>
    </row>
    <row r="79"/>
    <row r="80">
      <c r="A80" s="76" t="inlineStr">
        <is>
          <t>Description</t>
        </is>
      </c>
      <c r="B80" s="76" t="inlineStr">
        <is>
          <t>Value</t>
        </is>
      </c>
      <c r="C80" s="77" t="n"/>
      <c r="D80" s="77" t="n"/>
      <c r="E80" s="77" t="n"/>
      <c r="F80" s="77" t="n"/>
      <c r="G80" s="77" t="n"/>
      <c r="H80" s="77" t="n"/>
    </row>
    <row r="81">
      <c r="A81" s="74" t="inlineStr">
        <is>
          <t>Total Cable</t>
        </is>
      </c>
      <c r="B81" s="74" t="n">
        <v>1</v>
      </c>
    </row>
    <row r="82">
      <c r="A82" s="74" t="inlineStr">
        <is>
          <t>Total Cable Length (KML)</t>
        </is>
      </c>
      <c r="B82" s="74" t="n">
        <v>710.11</v>
      </c>
    </row>
    <row r="83">
      <c r="A83" s="74" t="inlineStr">
        <is>
          <t>Total Cable Length (Span)</t>
        </is>
      </c>
      <c r="B83" s="74" t="n">
        <v>705.24</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2020-12-11T06:26:00Z</dcterms:created>
  <dcterms:modified xmlns:dcterms="http://purl.org/dc/terms/" xmlns:xsi="http://www.w3.org/2001/XMLSchema-instance" xsi:type="dcterms:W3CDTF">2026-06-17T04:07:00Z</dcterms:modified>
  <cp:lastModifiedBy>Wahyu Kurniawan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C5A136033C7544AD8703B820A8AE26BB_13</vt:lpwstr>
  </property>
  <property name="KSOProductBuildVer" fmtid="{D5CDD505-2E9C-101B-9397-08002B2CF9AE}" pid="3">
    <vt:lpwstr xmlns:vt="http://schemas.openxmlformats.org/officeDocument/2006/docPropsVTypes">1033-12.1.0.25830</vt:lpwstr>
  </property>
  <property name="CalculationRule" fmtid="{D5CDD505-2E9C-101B-9397-08002B2CF9AE}" pid="4">
    <vt:i4 xmlns:vt="http://schemas.openxmlformats.org/officeDocument/2006/docPropsVTypes">0</vt:i4>
  </property>
</Properties>
</file>